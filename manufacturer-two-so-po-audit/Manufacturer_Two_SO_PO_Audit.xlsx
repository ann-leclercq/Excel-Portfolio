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SO PO Audit" sheetId="1" state="visible" r:id="rId1"/>
    <sheet xmlns:r="http://schemas.openxmlformats.org/officeDocument/2006/relationships" name="Dashboard" sheetId="2" state="visible" r:id="rId2"/>
  </sheets>
  <definedNames>
    <definedName name="_xlnm._FilterDatabase" localSheetId="0" hidden="1">'SO PO Audit'!$A$1:$J$79</definedName>
    <definedName name="_xlnm.Print_Titles" localSheetId="0">'SO PO Audit'!$1:$1</definedName>
  </definedNames>
  <calcPr calcId="124519"/>
  <pivotCaches>
    <pivotCache cacheId="1" r:id="rIdPC1"/>
  </pivotCaches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/d/yyyy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6B6B6B"/>
      <sz val="9"/>
    </font>
    <font>
      <name val="Calibri"/>
      <b val="1"/>
      <color rgb="001F3864"/>
      <sz val="14"/>
    </font>
    <font>
      <name val="Calibri"/>
      <b val="1"/>
      <color rgb="001F3864"/>
      <sz val="18"/>
    </font>
    <font>
      <name val="Calibri"/>
      <i val="1"/>
      <color rgb="006B6B6B"/>
      <sz val="10"/>
    </font>
    <font>
      <name val="Calibri"/>
      <b val="1"/>
      <color rgb="006B6B6B"/>
      <sz val="9"/>
    </font>
    <font>
      <name val="Calibri"/>
      <b val="1"/>
      <color rgb="001F3864"/>
      <sz val="2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49" fontId="2" fillId="0" borderId="1" applyAlignment="1" pivotButton="0" quotePrefix="0" xfId="0">
      <alignment horizontal="center"/>
    </xf>
    <xf numFmtId="3" fontId="2" fillId="0" borderId="1" applyAlignment="1" pivotButton="0" quotePrefix="0" xfId="0">
      <alignment horizontal="center"/>
    </xf>
    <xf numFmtId="0" fontId="2" fillId="0" borderId="1" pivotButton="0" quotePrefix="0" xfId="0"/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0" applyAlignment="1" pivotButton="0" quotePrefix="0" xfId="0">
      <alignment horizontal="center" vertical="center"/>
    </xf>
    <xf numFmtId="1" fontId="8" fillId="3" borderId="0" applyAlignment="1" pivotButton="0" quotePrefix="0" xfId="0">
      <alignment horizontal="center" vertical="center"/>
    </xf>
    <xf numFmtId="9" fontId="8" fillId="3" borderId="0" applyAlignment="1" pivotButton="0" quotePrefix="0" xfId="0">
      <alignment horizontal="center" vertical="center"/>
    </xf>
  </cellXfs>
  <cellStyles count="1">
    <cellStyle name="Normal" xfId="0" builtinId="0" hidden="0"/>
  </cellStyles>
  <dxfs count="8">
    <dxf>
      <font>
        <color rgb="00000000"/>
      </font>
      <fill>
        <patternFill patternType="solid">
          <bgColor rgb="00D0E1F6"/>
        </patternFill>
      </fill>
    </dxf>
    <dxf>
      <font>
        <b val="1"/>
        <color rgb="00000000"/>
      </font>
      <fill>
        <patternFill patternType="solid">
          <bgColor rgb="00F8EBC7"/>
        </patternFill>
      </fill>
    </dxf>
    <dxf>
      <font>
        <b val="1"/>
        <color rgb="00000000"/>
      </font>
      <fill>
        <patternFill patternType="solid">
          <bgColor rgb="00F6D0D0"/>
        </patternFill>
      </fill>
    </dxf>
    <dxf>
      <font>
        <b val="1"/>
        <color rgb="00000000"/>
      </font>
      <fill>
        <patternFill patternType="solid">
          <bgColor rgb="00FFE2C7"/>
        </patternFill>
      </fill>
    </dxf>
    <dxf>
      <font>
        <b val="1"/>
        <color rgb="00000000"/>
      </font>
      <fill>
        <patternFill patternType="solid">
          <bgColor rgb="00C7EED8"/>
        </patternFill>
      </fill>
    </dxf>
    <dxf>
      <font>
        <b val="1"/>
        <color rgb="00000000"/>
      </font>
      <fill>
        <patternFill patternType="solid">
          <bgColor rgb="00DED5EF"/>
        </patternFill>
      </fill>
    </dxf>
    <dxf>
      <font>
        <b val="1"/>
        <color rgb="00000000"/>
      </font>
      <fill>
        <patternFill patternType="solid">
          <bgColor rgb="00F8DEEA"/>
        </patternFill>
      </fill>
    </dxf>
    <dxf>
      <font>
        <b val="1"/>
        <color rgb="00000000"/>
      </font>
      <fill>
        <patternFill patternType="solid">
          <bgColor rgb="00EADAC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Relationship Id="rIdPC1" Type="http://schemas.openxmlformats.org/officeDocument/2006/relationships/pivotCacheDefinition" Target="pivotCache/pivotCacheDefinition1.xml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Orders by Status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A78D6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DDA600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D62828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FF7A00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00B050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6A3FB5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E06AA0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A0561A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Lbls>
            <dLblPos val="bestFit"/>
            <showLegendKey val="0"/>
            <showVal val="0"/>
            <showCatName val="1"/>
            <showSerName val="0"/>
            <showPercent val="1"/>
            <separator val="&#10;"/>
          </dLbls>
          <cat>
            <numRef>
              <f>'Dashboard'!$E$9:$E$16</f>
            </numRef>
          </cat>
          <val>
            <numRef>
              <f>'Dashboard'!$F$9:$F$16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3</row>
      <rowOff>0</rowOff>
    </from>
    <ext cx="5400000" cy="37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pivotCache/_rels/pivotCacheDefinition1.xml.rels><?xml version="1.0" encoding="UTF-8" standalone="yes"?>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refreshedBy="Audit" refreshedDate="45943" createdVersion="6" refreshedVersion="6" minRefreshableVersion="3" recordCount="78">
  <cacheSource type="worksheet">
    <worksheetSource ref="A1:J79" sheet="SO PO Audit"/>
  </cacheSource>
  <cacheFields count="10">
    <cacheField name="Order Date" numFmtId="14">
      <sharedItems containsSemiMixedTypes="0" containsNonDate="0" containsDate="1" containsString="0" minDate="2025-10-13T00:00:00" maxDate="2025-10-13T00:00:00"/>
    </cacheField>
    <cacheField name="Promise Date" numFmtId="14">
      <sharedItems containsSemiMixedTypes="0" containsNonDate="0" containsDate="1" containsString="0" minDate="2025-10-03T00:00:00" maxDate="2025-12-08T00:00:00"/>
    </cacheField>
    <cacheField name="Account Coordinator" numFmtId="0">
      <sharedItems count="5">
        <s v="A. Morales"/>
        <s v="B. Chen"/>
        <s v="D. Okafor"/>
        <s v="J. Patel"/>
        <s v="K. Russo"/>
      </sharedItems>
    </cacheField>
    <cacheField name="Sales Order Number" numFmtId="0">
      <sharedItems/>
    </cacheField>
    <cacheField name="Purchase Order Number" numFmtId="0">
      <sharedItems/>
    </cacheField>
    <cacheField name="Product ID" numFmtId="0">
      <sharedItems/>
    </cacheField>
    <cacheField name="Color" numFmtId="0">
      <sharedItems/>
    </cacheField>
    <cacheField name="QTY" numFmtId="0">
      <sharedItems containsSemiMixedTypes="0" containsString="0" containsNumber="1" containsInteger="1" minValue="6" maxValue="57000"/>
    </cacheField>
    <cacheField name="Status" numFmtId="0">
      <sharedItems count="8">
        <s v="Correct"/>
        <s v="Credit Hold"/>
        <s v="Missing PO"/>
        <s v="QTY"/>
        <s v="Shipped"/>
        <s v="PAST DUE"/>
        <s v="Color"/>
        <s v="Other"/>
      </sharedItems>
    </cacheField>
    <cacheField name="Notes" numFmtId="0">
      <sharedItems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8">
  <r>
    <d v="2025-10-13T00:00:00"/>
    <d v="2025-11-03T00:00:00"/>
    <x v="0"/>
    <s v="5104817"/>
    <s v="4500062402"/>
    <s v="LN-1120"/>
    <s v="Black"/>
    <n v="12"/>
    <x v="0"/>
    <m/>
  </r>
  <r>
    <d v="2025-10-13T00:00:00"/>
    <d v="2025-10-27T00:00:00"/>
    <x v="0"/>
    <s v="5104818"/>
    <s v="4500062402"/>
    <s v="TR-2280"/>
    <s v="Red"/>
    <n v="48"/>
    <x v="0"/>
    <m/>
  </r>
  <r>
    <d v="2025-10-13T00:00:00"/>
    <d v="2025-11-17T00:00:00"/>
    <x v="0"/>
    <s v="5104820"/>
    <s v="4500062402"/>
    <s v="BX-4410"/>
    <s v="Black"/>
    <n v="24"/>
    <x v="0"/>
    <m/>
  </r>
  <r>
    <d v="2025-10-13T00:00:00"/>
    <d v="2025-11-03T00:00:00"/>
    <x v="0"/>
    <s v="5104821"/>
    <s v="4500062402"/>
    <s v="CV-3305"/>
    <s v="Gray"/>
    <n v="100"/>
    <x v="0"/>
    <m/>
  </r>
  <r>
    <d v="2025-10-13T00:00:00"/>
    <d v="2025-12-08T00:00:00"/>
    <x v="0"/>
    <s v="5104822"/>
    <s v="4500062402"/>
    <s v="TR-3305"/>
    <s v="Red"/>
    <n v="60"/>
    <x v="0"/>
    <m/>
  </r>
  <r>
    <d v="2025-10-13T00:00:00"/>
    <d v="2025-10-27T00:00:00"/>
    <x v="0"/>
    <s v="5104823"/>
    <s v="4500062402"/>
    <s v="BX-4410"/>
    <s v="Gray"/>
    <n v="24"/>
    <x v="0"/>
    <m/>
  </r>
  <r>
    <d v="2025-10-13T00:00:00"/>
    <d v="2025-11-24T00:00:00"/>
    <x v="0"/>
    <s v="5104824"/>
    <s v="4500062402"/>
    <s v="LN-2280"/>
    <s v="Black"/>
    <n v="144"/>
    <x v="0"/>
    <m/>
  </r>
  <r>
    <d v="2025-10-13T00:00:00"/>
    <d v="2025-11-24T00:00:00"/>
    <x v="0"/>
    <s v="5104830"/>
    <s v="129317"/>
    <s v="LN-2280"/>
    <s v="Navy"/>
    <n v="60"/>
    <x v="1"/>
    <s v="Customer on credit hold; released to AR"/>
  </r>
  <r>
    <d v="2025-10-13T00:00:00"/>
    <d v="2025-11-03T00:00:00"/>
    <x v="0"/>
    <s v="5104831"/>
    <s v="129317"/>
    <s v="BX-1120"/>
    <s v="Red"/>
    <n v="12"/>
    <x v="1"/>
    <s v="Customer on credit hold; released to AR"/>
  </r>
  <r>
    <d v="2025-10-13T00:00:00"/>
    <d v="2025-11-24T00:00:00"/>
    <x v="0"/>
    <s v="5104833"/>
    <s v="129317"/>
    <s v="BX-2215"/>
    <s v="White"/>
    <n v="12"/>
    <x v="1"/>
    <s v="Customer on credit hold; released to AR"/>
  </r>
  <r>
    <d v="2025-10-13T00:00:00"/>
    <d v="2025-12-08T00:00:00"/>
    <x v="0"/>
    <s v="5104834"/>
    <s v="129317"/>
    <s v="BX-2215"/>
    <s v="White"/>
    <n v="6"/>
    <x v="1"/>
    <s v="Customer on credit hold; released to AR"/>
  </r>
  <r>
    <d v="2025-10-13T00:00:00"/>
    <d v="2025-11-17T00:00:00"/>
    <x v="0"/>
    <s v="5104843"/>
    <s v="PO-66286"/>
    <s v="TR-1120"/>
    <s v="White"/>
    <n v="100"/>
    <x v="2"/>
    <s v="No PO document on file; asked AC to request copy"/>
  </r>
  <r>
    <d v="2025-10-13T00:00:00"/>
    <d v="2025-11-24T00:00:00"/>
    <x v="0"/>
    <s v="5104844"/>
    <s v="PO-66286"/>
    <s v="TR-2280"/>
    <s v="Black"/>
    <n v="36"/>
    <x v="2"/>
    <s v="No PO document on file; asked AC to request copy"/>
  </r>
  <r>
    <d v="2025-10-13T00:00:00"/>
    <d v="2025-11-24T00:00:00"/>
    <x v="0"/>
    <s v="5104845"/>
    <s v="PO-66286"/>
    <s v="BX-4410"/>
    <s v="White"/>
    <n v="36"/>
    <x v="2"/>
    <s v="No PO document on file; asked AC to request copy"/>
  </r>
  <r>
    <d v="2025-10-13T00:00:00"/>
    <d v="2025-11-03T00:00:00"/>
    <x v="0"/>
    <s v="5104863"/>
    <s v="4500078228"/>
    <s v="CV-2215"/>
    <s v="Green"/>
    <n v="12"/>
    <x v="0"/>
    <m/>
  </r>
  <r>
    <d v="2025-10-13T00:00:00"/>
    <d v="2025-11-24T00:00:00"/>
    <x v="0"/>
    <s v="5104864"/>
    <s v="4500078228"/>
    <s v="BX-1040"/>
    <s v="Gray"/>
    <n v="12"/>
    <x v="0"/>
    <m/>
  </r>
  <r>
    <d v="2025-10-13T00:00:00"/>
    <d v="2025-11-10T00:00:00"/>
    <x v="0"/>
    <s v="5104889"/>
    <s v="640572"/>
    <s v="TR-2280"/>
    <s v="Navy"/>
    <n v="144"/>
    <x v="0"/>
    <m/>
  </r>
  <r>
    <d v="2025-10-13T00:00:00"/>
    <d v="2025-11-24T00:00:00"/>
    <x v="0"/>
    <s v="5104890"/>
    <s v="640572"/>
    <s v="TR-1120"/>
    <s v="Navy"/>
    <n v="36"/>
    <x v="0"/>
    <m/>
  </r>
  <r>
    <d v="2025-10-13T00:00:00"/>
    <d v="2025-11-17T00:00:00"/>
    <x v="0"/>
    <s v="5104892"/>
    <s v="NW-2025-8140"/>
    <s v="CV-2280"/>
    <s v="Navy"/>
    <n v="60"/>
    <x v="7"/>
    <s v="Ship-to address differs from PO"/>
  </r>
  <r>
    <d v="2025-10-13T00:00:00"/>
    <d v="2025-11-17T00:00:00"/>
    <x v="0"/>
    <s v="5104893"/>
    <s v="4500015706"/>
    <s v="BX-2215"/>
    <s v="White"/>
    <n v="100"/>
    <x v="1"/>
    <s v="Customer on credit hold; released to AR"/>
  </r>
  <r>
    <d v="2025-10-13T00:00:00"/>
    <d v="2025-12-08T00:00:00"/>
    <x v="0"/>
    <s v="5104895"/>
    <s v="215127"/>
    <s v="BX-1120"/>
    <s v="Black"/>
    <n v="100"/>
    <x v="7"/>
    <s v="Unit price differs from PO"/>
  </r>
  <r>
    <d v="2025-10-13T00:00:00"/>
    <d v="2025-12-08T00:00:00"/>
    <x v="0"/>
    <s v="5104907"/>
    <s v="833506"/>
    <s v="LN-2215"/>
    <s v="White"/>
    <n v="144"/>
    <x v="0"/>
    <m/>
  </r>
  <r>
    <d v="2025-10-13T00:00:00"/>
    <d v="2025-11-24T00:00:00"/>
    <x v="1"/>
    <s v="5104825"/>
    <s v="PO-79477"/>
    <s v="BX-2215"/>
    <s v="Black"/>
    <n v="6"/>
    <x v="0"/>
    <m/>
  </r>
  <r>
    <d v="2025-10-13T00:00:00"/>
    <d v="2025-11-24T00:00:00"/>
    <x v="1"/>
    <s v="5104826"/>
    <s v="PO-79477"/>
    <s v="BX-2280"/>
    <s v="Gray"/>
    <n v="48"/>
    <x v="6"/>
    <s v="PO calls for Navy"/>
  </r>
  <r>
    <d v="2025-10-13T00:00:00"/>
    <d v="2025-11-03T00:00:00"/>
    <x v="1"/>
    <s v="5104827"/>
    <s v="PO-79477"/>
    <s v="CV-4410"/>
    <s v="Gray"/>
    <n v="100"/>
    <x v="0"/>
    <m/>
  </r>
  <r>
    <d v="2025-10-13T00:00:00"/>
    <d v="2025-11-17T00:00:00"/>
    <x v="1"/>
    <s v="5104828"/>
    <s v="PO-79477"/>
    <s v="BX-4410"/>
    <s v="Tan"/>
    <n v="12"/>
    <x v="0"/>
    <m/>
  </r>
  <r>
    <d v="2025-10-13T00:00:00"/>
    <d v="2025-11-03T00:00:00"/>
    <x v="1"/>
    <s v="5104829"/>
    <s v="PO-79477"/>
    <s v="CV-1120"/>
    <s v="Green"/>
    <n v="24"/>
    <x v="6"/>
    <s v="PO calls for Black"/>
  </r>
  <r>
    <d v="2025-10-13T00:00:00"/>
    <d v="2025-10-07T00:00:00"/>
    <x v="1"/>
    <s v="5104847"/>
    <s v="620390"/>
    <s v="TR-4410"/>
    <s v="Gray"/>
    <n v="100"/>
    <x v="5"/>
    <s v="Promise date entered before order date"/>
  </r>
  <r>
    <d v="2025-10-13T00:00:00"/>
    <d v="2025-11-17T00:00:00"/>
    <x v="1"/>
    <s v="5104848"/>
    <s v="620390"/>
    <s v="BX-1120"/>
    <s v="Gray"/>
    <n v="100"/>
    <x v="0"/>
    <m/>
  </r>
  <r>
    <d v="2025-10-13T00:00:00"/>
    <d v="2025-10-03T00:00:00"/>
    <x v="1"/>
    <s v="5104849"/>
    <s v="620390"/>
    <s v="BX-3305"/>
    <s v="Green"/>
    <n v="12"/>
    <x v="5"/>
    <s v="Promise date entered before order date"/>
  </r>
  <r>
    <d v="2025-10-13T00:00:00"/>
    <d v="2025-10-27T00:00:00"/>
    <x v="1"/>
    <s v="5104859"/>
    <s v="242943"/>
    <s v="LN-2215"/>
    <s v="Red"/>
    <n v="12"/>
    <x v="0"/>
    <m/>
  </r>
  <r>
    <d v="2025-10-13T00:00:00"/>
    <d v="2025-11-17T00:00:00"/>
    <x v="1"/>
    <s v="5104860"/>
    <s v="242943"/>
    <s v="TR-1120"/>
    <s v="Gray"/>
    <n v="12"/>
    <x v="0"/>
    <m/>
  </r>
  <r>
    <d v="2025-10-13T00:00:00"/>
    <d v="2025-11-17T00:00:00"/>
    <x v="1"/>
    <s v="5104872"/>
    <s v="NW-2025-8792"/>
    <s v="TR-3305"/>
    <s v="Green"/>
    <n v="24"/>
    <x v="3"/>
    <s v="PO qty 48, SO qty 24"/>
  </r>
  <r>
    <d v="2025-10-13T00:00:00"/>
    <d v="2025-10-10T00:00:00"/>
    <x v="1"/>
    <s v="5104873"/>
    <s v="NW-2025-8792"/>
    <s v="BX-4410"/>
    <s v="Gray"/>
    <n v="6"/>
    <x v="5"/>
    <s v="Promise date entered before order date"/>
  </r>
  <r>
    <d v="2025-10-13T00:00:00"/>
    <d v="2025-12-08T00:00:00"/>
    <x v="1"/>
    <s v="5104879"/>
    <s v="141266"/>
    <s v="CV-2215"/>
    <s v="White"/>
    <n v="24"/>
    <x v="0"/>
    <m/>
  </r>
  <r>
    <d v="2025-10-13T00:00:00"/>
    <d v="2025-11-03T00:00:00"/>
    <x v="1"/>
    <s v="5104881"/>
    <s v="141266"/>
    <s v="TR-1120"/>
    <s v="Gray"/>
    <n v="12"/>
    <x v="4"/>
    <s v="Line already shipped; no correction needed"/>
  </r>
  <r>
    <d v="2025-10-13T00:00:00"/>
    <d v="2025-11-03T00:00:00"/>
    <x v="1"/>
    <s v="5104900"/>
    <s v="PO-76905"/>
    <s v="LN-1120"/>
    <s v="Red"/>
    <n v="60"/>
    <x v="0"/>
    <m/>
  </r>
  <r>
    <d v="2025-10-13T00:00:00"/>
    <d v="2025-11-24T00:00:00"/>
    <x v="1"/>
    <s v="5104901"/>
    <s v="515957"/>
    <s v="LN-4410"/>
    <s v="White"/>
    <n v="36"/>
    <x v="0"/>
    <m/>
  </r>
  <r>
    <d v="2025-10-13T00:00:00"/>
    <d v="2025-11-03T00:00:00"/>
    <x v="1"/>
    <s v="5104903"/>
    <s v="NW-2025-7877"/>
    <s v="CV-1040"/>
    <s v="Red"/>
    <n v="24"/>
    <x v="0"/>
    <m/>
  </r>
  <r>
    <d v="2025-10-13T00:00:00"/>
    <d v="2025-11-17T00:00:00"/>
    <x v="2"/>
    <s v="5104836"/>
    <s v="NW-2025-9689"/>
    <s v="TR-3305"/>
    <s v="Navy"/>
    <n v="24"/>
    <x v="0"/>
    <m/>
  </r>
  <r>
    <d v="2025-10-13T00:00:00"/>
    <d v="2025-10-27T00:00:00"/>
    <x v="2"/>
    <s v="5104837"/>
    <s v="NW-2025-9689"/>
    <s v="LN-3305"/>
    <s v="Green"/>
    <n v="12"/>
    <x v="3"/>
    <s v="PO qty 24, SO qty 12"/>
  </r>
  <r>
    <d v="2025-10-13T00:00:00"/>
    <d v="2025-12-08T00:00:00"/>
    <x v="2"/>
    <s v="5104838"/>
    <s v="NW-2025-9689"/>
    <s v="LN-2280"/>
    <s v="Gray"/>
    <n v="48"/>
    <x v="0"/>
    <m/>
  </r>
  <r>
    <d v="2025-10-13T00:00:00"/>
    <d v="2025-10-27T00:00:00"/>
    <x v="2"/>
    <s v="5104839"/>
    <s v="NW-2025-9689"/>
    <s v="BX-2280"/>
    <s v="White"/>
    <n v="6"/>
    <x v="0"/>
    <m/>
  </r>
  <r>
    <d v="2025-10-13T00:00:00"/>
    <d v="2025-11-10T00:00:00"/>
    <x v="2"/>
    <s v="5104851"/>
    <s v="NW-2025-7025"/>
    <s v="TR-1120"/>
    <s v="Tan"/>
    <n v="12"/>
    <x v="0"/>
    <m/>
  </r>
  <r>
    <d v="2025-10-13T00:00:00"/>
    <d v="2025-10-27T00:00:00"/>
    <x v="2"/>
    <s v="5104852"/>
    <s v="NW-2025-7025"/>
    <s v="CV-2215"/>
    <s v="White"/>
    <n v="6"/>
    <x v="0"/>
    <m/>
  </r>
  <r>
    <d v="2025-10-13T00:00:00"/>
    <d v="2025-11-03T00:00:00"/>
    <x v="2"/>
    <s v="5104853"/>
    <s v="NW-2025-7025"/>
    <s v="CV-2215"/>
    <s v="White"/>
    <n v="144"/>
    <x v="4"/>
    <s v="Line already shipped; no correction needed"/>
  </r>
  <r>
    <d v="2025-10-13T00:00:00"/>
    <d v="2025-11-24T00:00:00"/>
    <x v="2"/>
    <s v="5104869"/>
    <s v="139904"/>
    <s v="TR-3305"/>
    <s v="Tan"/>
    <n v="24"/>
    <x v="0"/>
    <m/>
  </r>
  <r>
    <d v="2025-10-13T00:00:00"/>
    <d v="2025-10-27T00:00:00"/>
    <x v="2"/>
    <s v="5104870"/>
    <s v="139904"/>
    <s v="TR-2280"/>
    <s v="Navy"/>
    <n v="60"/>
    <x v="3"/>
    <s v="PO qty 30, SO qty 60"/>
  </r>
  <r>
    <d v="2025-10-13T00:00:00"/>
    <d v="2025-10-03T00:00:00"/>
    <x v="2"/>
    <s v="5104877"/>
    <s v="PO-89136"/>
    <s v="BX-1120"/>
    <s v="Tan"/>
    <n v="24"/>
    <x v="5"/>
    <s v="Promise date entered before order date"/>
  </r>
  <r>
    <d v="2025-10-13T00:00:00"/>
    <d v="2025-11-03T00:00:00"/>
    <x v="2"/>
    <s v="5104878"/>
    <s v="PO-89136"/>
    <s v="TR-1120"/>
    <s v="Green"/>
    <n v="24"/>
    <x v="0"/>
    <m/>
  </r>
  <r>
    <d v="2025-10-13T00:00:00"/>
    <d v="2025-11-03T00:00:00"/>
    <x v="2"/>
    <s v="5104884"/>
    <s v="4500073350"/>
    <s v="LN-1120"/>
    <s v="Black"/>
    <n v="12"/>
    <x v="0"/>
    <m/>
  </r>
  <r>
    <d v="2025-10-13T00:00:00"/>
    <d v="2025-11-24T00:00:00"/>
    <x v="2"/>
    <s v="5104886"/>
    <s v="4500073350"/>
    <s v="BX-3305"/>
    <s v="Red"/>
    <n v="144"/>
    <x v="0"/>
    <m/>
  </r>
  <r>
    <d v="2025-10-13T00:00:00"/>
    <d v="2025-11-10T00:00:00"/>
    <x v="2"/>
    <s v="5104896"/>
    <s v="NW-2025-6429"/>
    <s v="LN-2280"/>
    <s v="Black"/>
    <n v="36"/>
    <x v="0"/>
    <m/>
  </r>
  <r>
    <d v="2025-10-13T00:00:00"/>
    <d v="2025-10-27T00:00:00"/>
    <x v="2"/>
    <s v="5104909"/>
    <s v="NW-2025-7867"/>
    <s v="TR-4410"/>
    <s v="Green"/>
    <n v="6"/>
    <x v="0"/>
    <m/>
  </r>
  <r>
    <d v="2025-10-13T00:00:00"/>
    <d v="2025-11-03T00:00:00"/>
    <x v="3"/>
    <s v="5104840"/>
    <s v="4500056087"/>
    <s v="BX-2215"/>
    <s v="Gray"/>
    <n v="6"/>
    <x v="0"/>
    <m/>
  </r>
  <r>
    <d v="2025-10-13T00:00:00"/>
    <d v="2025-10-27T00:00:00"/>
    <x v="3"/>
    <s v="5104841"/>
    <s v="4500056087"/>
    <s v="TR-3305"/>
    <s v="Tan"/>
    <n v="6"/>
    <x v="0"/>
    <m/>
  </r>
  <r>
    <d v="2025-10-13T00:00:00"/>
    <d v="2025-11-03T00:00:00"/>
    <x v="3"/>
    <s v="5104842"/>
    <s v="4500056087"/>
    <s v="TR-3305"/>
    <s v="Navy"/>
    <n v="57000"/>
    <x v="3"/>
    <s v="PO qty 5,700, SO qty 57,000 (extra zero)"/>
  </r>
  <r>
    <d v="2025-10-13T00:00:00"/>
    <d v="2025-11-17T00:00:00"/>
    <x v="3"/>
    <s v="5104854"/>
    <s v="4500072381"/>
    <s v="LN-1120"/>
    <s v="Navy"/>
    <n v="144"/>
    <x v="0"/>
    <m/>
  </r>
  <r>
    <d v="2025-10-13T00:00:00"/>
    <d v="2025-11-10T00:00:00"/>
    <x v="3"/>
    <s v="5104855"/>
    <s v="4500072381"/>
    <s v="BX-3305"/>
    <s v="Navy"/>
    <n v="12"/>
    <x v="0"/>
    <m/>
  </r>
  <r>
    <d v="2025-10-13T00:00:00"/>
    <d v="2025-11-03T00:00:00"/>
    <x v="3"/>
    <s v="5104856"/>
    <s v="4500072381"/>
    <s v="TR-4410"/>
    <s v="Green"/>
    <n v="12"/>
    <x v="6"/>
    <s v="PO calls for Gray"/>
  </r>
  <r>
    <d v="2025-10-13T00:00:00"/>
    <d v="2025-11-10T00:00:00"/>
    <x v="3"/>
    <s v="5104866"/>
    <s v="PO-71875"/>
    <s v="LN-2280"/>
    <s v="Black"/>
    <n v="24"/>
    <x v="2"/>
    <s v="PO number on SO doesn't match any PO received"/>
  </r>
  <r>
    <d v="2025-10-13T00:00:00"/>
    <d v="2025-11-03T00:00:00"/>
    <x v="3"/>
    <s v="5104867"/>
    <s v="PO-71875"/>
    <s v="BX-1040"/>
    <s v="Red"/>
    <n v="6"/>
    <x v="2"/>
    <s v="PO number on SO doesn't match any PO received"/>
  </r>
  <r>
    <d v="2025-10-13T00:00:00"/>
    <d v="2025-11-10T00:00:00"/>
    <x v="3"/>
    <s v="5104887"/>
    <s v="PO-79103"/>
    <s v="LN-4410"/>
    <s v="Red"/>
    <n v="36"/>
    <x v="0"/>
    <m/>
  </r>
  <r>
    <d v="2025-10-13T00:00:00"/>
    <d v="2025-11-03T00:00:00"/>
    <x v="3"/>
    <s v="5104888"/>
    <s v="PO-79103"/>
    <s v="LN-2215"/>
    <s v="White"/>
    <n v="36"/>
    <x v="0"/>
    <m/>
  </r>
  <r>
    <d v="2025-10-13T00:00:00"/>
    <d v="2025-11-10T00:00:00"/>
    <x v="3"/>
    <s v="5104894"/>
    <s v="PO-63371"/>
    <s v="CV-4410"/>
    <s v="Tan"/>
    <n v="144"/>
    <x v="0"/>
    <m/>
  </r>
  <r>
    <d v="2025-10-13T00:00:00"/>
    <d v="2025-11-03T00:00:00"/>
    <x v="3"/>
    <s v="5104898"/>
    <s v="4500098490"/>
    <s v="LN-1040"/>
    <s v="White"/>
    <n v="12"/>
    <x v="0"/>
    <m/>
  </r>
  <r>
    <d v="2025-10-13T00:00:00"/>
    <d v="2025-11-03T00:00:00"/>
    <x v="3"/>
    <s v="5104910"/>
    <s v="4500017966"/>
    <s v="BX-3305"/>
    <s v="Black"/>
    <n v="12"/>
    <x v="3"/>
    <s v="PO qty 24, SO qty 12"/>
  </r>
  <r>
    <d v="2025-10-13T00:00:00"/>
    <d v="2025-11-03T00:00:00"/>
    <x v="3"/>
    <s v="5104911"/>
    <s v="PO-93515"/>
    <s v="LN-4410"/>
    <s v="Gray"/>
    <n v="36"/>
    <x v="0"/>
    <m/>
  </r>
  <r>
    <d v="2025-10-13T00:00:00"/>
    <d v="2025-11-17T00:00:00"/>
    <x v="4"/>
    <s v="5104857"/>
    <s v="PO-66793"/>
    <s v="TR-1040"/>
    <s v="Tan"/>
    <n v="6"/>
    <x v="1"/>
    <s v="Customer on credit hold; released to AR"/>
  </r>
  <r>
    <d v="2025-10-13T00:00:00"/>
    <d v="2025-10-27T00:00:00"/>
    <x v="4"/>
    <s v="5104858"/>
    <s v="PO-66793"/>
    <s v="CV-4410"/>
    <s v="Gray"/>
    <n v="24"/>
    <x v="1"/>
    <s v="Customer on credit hold; released to AR"/>
  </r>
  <r>
    <d v="2025-10-13T00:00:00"/>
    <d v="2025-11-17T00:00:00"/>
    <x v="4"/>
    <s v="5104861"/>
    <s v="NW-2025-6464"/>
    <s v="BX-2215"/>
    <s v="White"/>
    <n v="144"/>
    <x v="0"/>
    <m/>
  </r>
  <r>
    <d v="2025-10-13T00:00:00"/>
    <d v="2025-10-27T00:00:00"/>
    <x v="4"/>
    <s v="5104862"/>
    <s v="NW-2025-6464"/>
    <s v="LN-2215"/>
    <s v="Tan"/>
    <n v="12"/>
    <x v="0"/>
    <m/>
  </r>
  <r>
    <d v="2025-10-13T00:00:00"/>
    <d v="2025-12-08T00:00:00"/>
    <x v="4"/>
    <s v="5104874"/>
    <s v="4500056622"/>
    <s v="BX-2280"/>
    <s v="White"/>
    <n v="60"/>
    <x v="4"/>
    <s v="Line already shipped; no correction needed"/>
  </r>
  <r>
    <d v="2025-10-13T00:00:00"/>
    <d v="2025-11-03T00:00:00"/>
    <x v="4"/>
    <s v="5104876"/>
    <s v="4500056622"/>
    <s v="LN-4410"/>
    <s v="Tan"/>
    <n v="24"/>
    <x v="0"/>
    <m/>
  </r>
  <r>
    <d v="2025-10-13T00:00:00"/>
    <d v="2025-12-08T00:00:00"/>
    <x v="4"/>
    <s v="5104882"/>
    <s v="NW-2025-5949"/>
    <s v="CV-2215"/>
    <s v="Green"/>
    <n v="36"/>
    <x v="0"/>
    <m/>
  </r>
  <r>
    <d v="2025-10-13T00:00:00"/>
    <d v="2025-11-10T00:00:00"/>
    <x v="4"/>
    <s v="5104883"/>
    <s v="NW-2025-5949"/>
    <s v="TR-2280"/>
    <s v="Green"/>
    <n v="60"/>
    <x v="0"/>
    <m/>
  </r>
  <r>
    <d v="2025-10-13T00:00:00"/>
    <d v="2025-11-03T00:00:00"/>
    <x v="4"/>
    <s v="5104904"/>
    <s v="4500060030"/>
    <s v="LN-1040"/>
    <s v="White"/>
    <n v="48"/>
    <x v="0"/>
    <m/>
  </r>
  <r>
    <d v="2025-10-13T00:00:00"/>
    <d v="2025-11-24T00:00:00"/>
    <x v="4"/>
    <s v="5104906"/>
    <s v="PO-95168"/>
    <s v="TR-1120"/>
    <s v="Navy"/>
    <n v="12"/>
    <x v="0"/>
    <m/>
  </r>
</pivotCacheRecords>
</file>

<file path=xl/pivotTables/_rels/pivotTable1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r="http://schemas.openxmlformats.org/officeDocument/2006/relationships" name="PivotTable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Account Coordinator">
  <location ref="B8:C14" firstHeaderRow="1" firstDataRow="1" firstDataCol="1"/>
  <pivotFields count="10">
    <pivotField numFmtId="14" showAll="0"/>
    <pivotField numFmtId="14" showAll="0"/>
    <pivotField axis="axisRow"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Orders Entered" fld="3" subtotal="count" baseField="0" baseItem="0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xmlns:r="http://schemas.openxmlformats.org/officeDocument/2006/relationships" name="PivotTable2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Status">
  <location ref="E8:F17" firstHeaderRow="1" firstDataRow="1" firstDataCol="1"/>
  <pivotFields count="10">
    <pivotField numFmtId="14" showAll="0"/>
    <pivotField numFmtId="14" showAll="0"/>
    <pivotField showAll="0"/>
    <pivotField dataField="1" showAll="0"/>
    <pivotField showAll="0"/>
    <pivotField showAll="0"/>
    <pivotField showAll="0"/>
    <pivotField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</pivotFields>
  <rowFields count="1">
    <field x="8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Orders" fld="3" subtotal="count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Relationship Id="rIdPT1" Type="http://schemas.openxmlformats.org/officeDocument/2006/relationships/pivotTable" Target="../pivotTables/pivotTable1.xml"/><Relationship Id="rIdPT2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1" customWidth="1" min="3" max="3"/>
    <col width="15" customWidth="1" min="4" max="4"/>
    <col width="20" customWidth="1" min="5" max="5"/>
    <col width="11" customWidth="1" min="6" max="6"/>
    <col width="9" customWidth="1" min="7" max="7"/>
    <col width="9" customWidth="1" min="8" max="8"/>
    <col width="13" customWidth="1" min="9" max="9"/>
    <col width="44" customWidth="1" min="10" max="10"/>
  </cols>
  <sheetData>
    <row r="1" ht="32" customHeight="1">
      <c r="A1" s="1" t="inlineStr">
        <is>
          <t>Order Date</t>
        </is>
      </c>
      <c r="B1" s="1" t="inlineStr">
        <is>
          <t>Promise Date</t>
        </is>
      </c>
      <c r="C1" s="1" t="inlineStr">
        <is>
          <t>Account Coordinator</t>
        </is>
      </c>
      <c r="D1" s="1" t="inlineStr">
        <is>
          <t>Sales Order Number</t>
        </is>
      </c>
      <c r="E1" s="1" t="inlineStr">
        <is>
          <t>Purchase Order Number</t>
        </is>
      </c>
      <c r="F1" s="1" t="inlineStr">
        <is>
          <t>Product ID</t>
        </is>
      </c>
      <c r="G1" s="1" t="inlineStr">
        <is>
          <t>Color</t>
        </is>
      </c>
      <c r="H1" s="1" t="inlineStr">
        <is>
          <t>QTY</t>
        </is>
      </c>
      <c r="I1" s="1" t="inlineStr">
        <is>
          <t>Status</t>
        </is>
      </c>
      <c r="J1" s="1" t="inlineStr">
        <is>
          <t>Notes</t>
        </is>
      </c>
    </row>
    <row r="2">
      <c r="A2" s="2" t="n">
        <v>45943</v>
      </c>
      <c r="B2" s="2" t="n">
        <v>45964</v>
      </c>
      <c r="C2" s="3" t="inlineStr">
        <is>
          <t>A. Morales</t>
        </is>
      </c>
      <c r="D2" s="4" t="inlineStr">
        <is>
          <t>5104817</t>
        </is>
      </c>
      <c r="E2" s="4" t="inlineStr">
        <is>
          <t>4500062402</t>
        </is>
      </c>
      <c r="F2" s="3" t="inlineStr">
        <is>
          <t>LN-1120</t>
        </is>
      </c>
      <c r="G2" s="3" t="inlineStr">
        <is>
          <t>Black</t>
        </is>
      </c>
      <c r="H2" s="5" t="n">
        <v>12</v>
      </c>
      <c r="I2" s="3" t="inlineStr">
        <is>
          <t>Correct</t>
        </is>
      </c>
      <c r="J2" s="6" t="inlineStr"/>
    </row>
    <row r="3">
      <c r="A3" s="2" t="n">
        <v>45943</v>
      </c>
      <c r="B3" s="2" t="n">
        <v>45957</v>
      </c>
      <c r="C3" s="3" t="inlineStr">
        <is>
          <t>A. Morales</t>
        </is>
      </c>
      <c r="D3" s="4" t="inlineStr">
        <is>
          <t>5104818</t>
        </is>
      </c>
      <c r="E3" s="4" t="inlineStr">
        <is>
          <t>4500062402</t>
        </is>
      </c>
      <c r="F3" s="3" t="inlineStr">
        <is>
          <t>TR-2280</t>
        </is>
      </c>
      <c r="G3" s="3" t="inlineStr">
        <is>
          <t>Red</t>
        </is>
      </c>
      <c r="H3" s="5" t="n">
        <v>48</v>
      </c>
      <c r="I3" s="3" t="inlineStr">
        <is>
          <t>Correct</t>
        </is>
      </c>
      <c r="J3" s="6" t="inlineStr"/>
    </row>
    <row r="4">
      <c r="A4" s="2" t="n">
        <v>45943</v>
      </c>
      <c r="B4" s="2" t="n">
        <v>45978</v>
      </c>
      <c r="C4" s="3" t="inlineStr">
        <is>
          <t>A. Morales</t>
        </is>
      </c>
      <c r="D4" s="4" t="inlineStr">
        <is>
          <t>5104820</t>
        </is>
      </c>
      <c r="E4" s="4" t="inlineStr">
        <is>
          <t>4500062402</t>
        </is>
      </c>
      <c r="F4" s="3" t="inlineStr">
        <is>
          <t>BX-4410</t>
        </is>
      </c>
      <c r="G4" s="3" t="inlineStr">
        <is>
          <t>Black</t>
        </is>
      </c>
      <c r="H4" s="5" t="n">
        <v>24</v>
      </c>
      <c r="I4" s="3" t="inlineStr">
        <is>
          <t>Correct</t>
        </is>
      </c>
      <c r="J4" s="6" t="inlineStr"/>
    </row>
    <row r="5">
      <c r="A5" s="2" t="n">
        <v>45943</v>
      </c>
      <c r="B5" s="2" t="n">
        <v>45964</v>
      </c>
      <c r="C5" s="3" t="inlineStr">
        <is>
          <t>A. Morales</t>
        </is>
      </c>
      <c r="D5" s="4" t="inlineStr">
        <is>
          <t>5104821</t>
        </is>
      </c>
      <c r="E5" s="4" t="inlineStr">
        <is>
          <t>4500062402</t>
        </is>
      </c>
      <c r="F5" s="3" t="inlineStr">
        <is>
          <t>CV-3305</t>
        </is>
      </c>
      <c r="G5" s="3" t="inlineStr">
        <is>
          <t>Gray</t>
        </is>
      </c>
      <c r="H5" s="5" t="n">
        <v>100</v>
      </c>
      <c r="I5" s="3" t="inlineStr">
        <is>
          <t>Correct</t>
        </is>
      </c>
      <c r="J5" s="6" t="inlineStr"/>
    </row>
    <row r="6">
      <c r="A6" s="2" t="n">
        <v>45943</v>
      </c>
      <c r="B6" s="2" t="n">
        <v>45999</v>
      </c>
      <c r="C6" s="3" t="inlineStr">
        <is>
          <t>A. Morales</t>
        </is>
      </c>
      <c r="D6" s="4" t="inlineStr">
        <is>
          <t>5104822</t>
        </is>
      </c>
      <c r="E6" s="4" t="inlineStr">
        <is>
          <t>4500062402</t>
        </is>
      </c>
      <c r="F6" s="3" t="inlineStr">
        <is>
          <t>TR-3305</t>
        </is>
      </c>
      <c r="G6" s="3" t="inlineStr">
        <is>
          <t>Red</t>
        </is>
      </c>
      <c r="H6" s="5" t="n">
        <v>60</v>
      </c>
      <c r="I6" s="3" t="inlineStr">
        <is>
          <t>Correct</t>
        </is>
      </c>
      <c r="J6" s="6" t="inlineStr"/>
    </row>
    <row r="7">
      <c r="A7" s="2" t="n">
        <v>45943</v>
      </c>
      <c r="B7" s="2" t="n">
        <v>45957</v>
      </c>
      <c r="C7" s="3" t="inlineStr">
        <is>
          <t>A. Morales</t>
        </is>
      </c>
      <c r="D7" s="4" t="inlineStr">
        <is>
          <t>5104823</t>
        </is>
      </c>
      <c r="E7" s="4" t="inlineStr">
        <is>
          <t>4500062402</t>
        </is>
      </c>
      <c r="F7" s="3" t="inlineStr">
        <is>
          <t>BX-4410</t>
        </is>
      </c>
      <c r="G7" s="3" t="inlineStr">
        <is>
          <t>Gray</t>
        </is>
      </c>
      <c r="H7" s="5" t="n">
        <v>24</v>
      </c>
      <c r="I7" s="3" t="inlineStr">
        <is>
          <t>Correct</t>
        </is>
      </c>
      <c r="J7" s="6" t="inlineStr"/>
    </row>
    <row r="8">
      <c r="A8" s="2" t="n">
        <v>45943</v>
      </c>
      <c r="B8" s="2" t="n">
        <v>45985</v>
      </c>
      <c r="C8" s="3" t="inlineStr">
        <is>
          <t>A. Morales</t>
        </is>
      </c>
      <c r="D8" s="4" t="inlineStr">
        <is>
          <t>5104824</t>
        </is>
      </c>
      <c r="E8" s="4" t="inlineStr">
        <is>
          <t>4500062402</t>
        </is>
      </c>
      <c r="F8" s="3" t="inlineStr">
        <is>
          <t>LN-2280</t>
        </is>
      </c>
      <c r="G8" s="3" t="inlineStr">
        <is>
          <t>Black</t>
        </is>
      </c>
      <c r="H8" s="5" t="n">
        <v>144</v>
      </c>
      <c r="I8" s="3" t="inlineStr">
        <is>
          <t>Correct</t>
        </is>
      </c>
      <c r="J8" s="6" t="inlineStr"/>
    </row>
    <row r="9">
      <c r="A9" s="2" t="n">
        <v>45943</v>
      </c>
      <c r="B9" s="2" t="n">
        <v>45985</v>
      </c>
      <c r="C9" s="3" t="inlineStr">
        <is>
          <t>A. Morales</t>
        </is>
      </c>
      <c r="D9" s="4" t="inlineStr">
        <is>
          <t>5104830</t>
        </is>
      </c>
      <c r="E9" s="4" t="inlineStr">
        <is>
          <t>129317</t>
        </is>
      </c>
      <c r="F9" s="3" t="inlineStr">
        <is>
          <t>LN-2280</t>
        </is>
      </c>
      <c r="G9" s="3" t="inlineStr">
        <is>
          <t>Navy</t>
        </is>
      </c>
      <c r="H9" s="5" t="n">
        <v>60</v>
      </c>
      <c r="I9" s="3" t="inlineStr">
        <is>
          <t>Credit Hold</t>
        </is>
      </c>
      <c r="J9" s="6" t="inlineStr">
        <is>
          <t>Customer on credit hold; released to AR</t>
        </is>
      </c>
    </row>
    <row r="10">
      <c r="A10" s="2" t="n">
        <v>45943</v>
      </c>
      <c r="B10" s="2" t="n">
        <v>45964</v>
      </c>
      <c r="C10" s="3" t="inlineStr">
        <is>
          <t>A. Morales</t>
        </is>
      </c>
      <c r="D10" s="4" t="inlineStr">
        <is>
          <t>5104831</t>
        </is>
      </c>
      <c r="E10" s="4" t="inlineStr">
        <is>
          <t>129317</t>
        </is>
      </c>
      <c r="F10" s="3" t="inlineStr">
        <is>
          <t>BX-1120</t>
        </is>
      </c>
      <c r="G10" s="3" t="inlineStr">
        <is>
          <t>Red</t>
        </is>
      </c>
      <c r="H10" s="5" t="n">
        <v>12</v>
      </c>
      <c r="I10" s="3" t="inlineStr">
        <is>
          <t>Credit Hold</t>
        </is>
      </c>
      <c r="J10" s="6" t="inlineStr">
        <is>
          <t>Customer on credit hold; released to AR</t>
        </is>
      </c>
    </row>
    <row r="11">
      <c r="A11" s="2" t="n">
        <v>45943</v>
      </c>
      <c r="B11" s="2" t="n">
        <v>45985</v>
      </c>
      <c r="C11" s="3" t="inlineStr">
        <is>
          <t>A. Morales</t>
        </is>
      </c>
      <c r="D11" s="4" t="inlineStr">
        <is>
          <t>5104833</t>
        </is>
      </c>
      <c r="E11" s="4" t="inlineStr">
        <is>
          <t>129317</t>
        </is>
      </c>
      <c r="F11" s="3" t="inlineStr">
        <is>
          <t>BX-2215</t>
        </is>
      </c>
      <c r="G11" s="3" t="inlineStr">
        <is>
          <t>White</t>
        </is>
      </c>
      <c r="H11" s="5" t="n">
        <v>12</v>
      </c>
      <c r="I11" s="3" t="inlineStr">
        <is>
          <t>Credit Hold</t>
        </is>
      </c>
      <c r="J11" s="6" t="inlineStr">
        <is>
          <t>Customer on credit hold; released to AR</t>
        </is>
      </c>
    </row>
    <row r="12">
      <c r="A12" s="2" t="n">
        <v>45943</v>
      </c>
      <c r="B12" s="2" t="n">
        <v>45999</v>
      </c>
      <c r="C12" s="3" t="inlineStr">
        <is>
          <t>A. Morales</t>
        </is>
      </c>
      <c r="D12" s="4" t="inlineStr">
        <is>
          <t>5104834</t>
        </is>
      </c>
      <c r="E12" s="4" t="inlineStr">
        <is>
          <t>129317</t>
        </is>
      </c>
      <c r="F12" s="3" t="inlineStr">
        <is>
          <t>BX-2215</t>
        </is>
      </c>
      <c r="G12" s="3" t="inlineStr">
        <is>
          <t>White</t>
        </is>
      </c>
      <c r="H12" s="5" t="n">
        <v>6</v>
      </c>
      <c r="I12" s="3" t="inlineStr">
        <is>
          <t>Credit Hold</t>
        </is>
      </c>
      <c r="J12" s="6" t="inlineStr">
        <is>
          <t>Customer on credit hold; released to AR</t>
        </is>
      </c>
    </row>
    <row r="13">
      <c r="A13" s="2" t="n">
        <v>45943</v>
      </c>
      <c r="B13" s="2" t="n">
        <v>45978</v>
      </c>
      <c r="C13" s="3" t="inlineStr">
        <is>
          <t>A. Morales</t>
        </is>
      </c>
      <c r="D13" s="4" t="inlineStr">
        <is>
          <t>5104843</t>
        </is>
      </c>
      <c r="E13" s="4" t="inlineStr">
        <is>
          <t>PO-66286</t>
        </is>
      </c>
      <c r="F13" s="3" t="inlineStr">
        <is>
          <t>TR-1120</t>
        </is>
      </c>
      <c r="G13" s="3" t="inlineStr">
        <is>
          <t>White</t>
        </is>
      </c>
      <c r="H13" s="5" t="n">
        <v>100</v>
      </c>
      <c r="I13" s="3" t="inlineStr">
        <is>
          <t>Missing PO</t>
        </is>
      </c>
      <c r="J13" s="6" t="inlineStr">
        <is>
          <t>No PO document on file; asked AC to request copy</t>
        </is>
      </c>
    </row>
    <row r="14">
      <c r="A14" s="2" t="n">
        <v>45943</v>
      </c>
      <c r="B14" s="2" t="n">
        <v>45985</v>
      </c>
      <c r="C14" s="3" t="inlineStr">
        <is>
          <t>A. Morales</t>
        </is>
      </c>
      <c r="D14" s="4" t="inlineStr">
        <is>
          <t>5104844</t>
        </is>
      </c>
      <c r="E14" s="4" t="inlineStr">
        <is>
          <t>PO-66286</t>
        </is>
      </c>
      <c r="F14" s="3" t="inlineStr">
        <is>
          <t>TR-2280</t>
        </is>
      </c>
      <c r="G14" s="3" t="inlineStr">
        <is>
          <t>Black</t>
        </is>
      </c>
      <c r="H14" s="5" t="n">
        <v>36</v>
      </c>
      <c r="I14" s="3" t="inlineStr">
        <is>
          <t>Missing PO</t>
        </is>
      </c>
      <c r="J14" s="6" t="inlineStr">
        <is>
          <t>No PO document on file; asked AC to request copy</t>
        </is>
      </c>
    </row>
    <row r="15">
      <c r="A15" s="2" t="n">
        <v>45943</v>
      </c>
      <c r="B15" s="2" t="n">
        <v>45985</v>
      </c>
      <c r="C15" s="3" t="inlineStr">
        <is>
          <t>A. Morales</t>
        </is>
      </c>
      <c r="D15" s="4" t="inlineStr">
        <is>
          <t>5104845</t>
        </is>
      </c>
      <c r="E15" s="4" t="inlineStr">
        <is>
          <t>PO-66286</t>
        </is>
      </c>
      <c r="F15" s="3" t="inlineStr">
        <is>
          <t>BX-4410</t>
        </is>
      </c>
      <c r="G15" s="3" t="inlineStr">
        <is>
          <t>White</t>
        </is>
      </c>
      <c r="H15" s="5" t="n">
        <v>36</v>
      </c>
      <c r="I15" s="3" t="inlineStr">
        <is>
          <t>Missing PO</t>
        </is>
      </c>
      <c r="J15" s="6" t="inlineStr">
        <is>
          <t>No PO document on file; asked AC to request copy</t>
        </is>
      </c>
    </row>
    <row r="16">
      <c r="A16" s="2" t="n">
        <v>45943</v>
      </c>
      <c r="B16" s="2" t="n">
        <v>45964</v>
      </c>
      <c r="C16" s="3" t="inlineStr">
        <is>
          <t>A. Morales</t>
        </is>
      </c>
      <c r="D16" s="4" t="inlineStr">
        <is>
          <t>5104863</t>
        </is>
      </c>
      <c r="E16" s="4" t="inlineStr">
        <is>
          <t>4500078228</t>
        </is>
      </c>
      <c r="F16" s="3" t="inlineStr">
        <is>
          <t>CV-2215</t>
        </is>
      </c>
      <c r="G16" s="3" t="inlineStr">
        <is>
          <t>Green</t>
        </is>
      </c>
      <c r="H16" s="5" t="n">
        <v>12</v>
      </c>
      <c r="I16" s="3" t="inlineStr">
        <is>
          <t>Correct</t>
        </is>
      </c>
      <c r="J16" s="6" t="inlineStr"/>
    </row>
    <row r="17">
      <c r="A17" s="2" t="n">
        <v>45943</v>
      </c>
      <c r="B17" s="2" t="n">
        <v>45985</v>
      </c>
      <c r="C17" s="3" t="inlineStr">
        <is>
          <t>A. Morales</t>
        </is>
      </c>
      <c r="D17" s="4" t="inlineStr">
        <is>
          <t>5104864</t>
        </is>
      </c>
      <c r="E17" s="4" t="inlineStr">
        <is>
          <t>4500078228</t>
        </is>
      </c>
      <c r="F17" s="3" t="inlineStr">
        <is>
          <t>BX-1040</t>
        </is>
      </c>
      <c r="G17" s="3" t="inlineStr">
        <is>
          <t>Gray</t>
        </is>
      </c>
      <c r="H17" s="5" t="n">
        <v>12</v>
      </c>
      <c r="I17" s="3" t="inlineStr">
        <is>
          <t>Correct</t>
        </is>
      </c>
      <c r="J17" s="6" t="inlineStr"/>
    </row>
    <row r="18">
      <c r="A18" s="2" t="n">
        <v>45943</v>
      </c>
      <c r="B18" s="2" t="n">
        <v>45971</v>
      </c>
      <c r="C18" s="3" t="inlineStr">
        <is>
          <t>A. Morales</t>
        </is>
      </c>
      <c r="D18" s="4" t="inlineStr">
        <is>
          <t>5104889</t>
        </is>
      </c>
      <c r="E18" s="4" t="inlineStr">
        <is>
          <t>640572</t>
        </is>
      </c>
      <c r="F18" s="3" t="inlineStr">
        <is>
          <t>TR-2280</t>
        </is>
      </c>
      <c r="G18" s="3" t="inlineStr">
        <is>
          <t>Navy</t>
        </is>
      </c>
      <c r="H18" s="5" t="n">
        <v>144</v>
      </c>
      <c r="I18" s="3" t="inlineStr">
        <is>
          <t>Correct</t>
        </is>
      </c>
      <c r="J18" s="6" t="inlineStr"/>
    </row>
    <row r="19">
      <c r="A19" s="2" t="n">
        <v>45943</v>
      </c>
      <c r="B19" s="2" t="n">
        <v>45985</v>
      </c>
      <c r="C19" s="3" t="inlineStr">
        <is>
          <t>A. Morales</t>
        </is>
      </c>
      <c r="D19" s="4" t="inlineStr">
        <is>
          <t>5104890</t>
        </is>
      </c>
      <c r="E19" s="4" t="inlineStr">
        <is>
          <t>640572</t>
        </is>
      </c>
      <c r="F19" s="3" t="inlineStr">
        <is>
          <t>TR-1120</t>
        </is>
      </c>
      <c r="G19" s="3" t="inlineStr">
        <is>
          <t>Navy</t>
        </is>
      </c>
      <c r="H19" s="5" t="n">
        <v>36</v>
      </c>
      <c r="I19" s="3" t="inlineStr">
        <is>
          <t>Correct</t>
        </is>
      </c>
      <c r="J19" s="6" t="inlineStr"/>
    </row>
    <row r="20">
      <c r="A20" s="2" t="n">
        <v>45943</v>
      </c>
      <c r="B20" s="2" t="n">
        <v>45978</v>
      </c>
      <c r="C20" s="3" t="inlineStr">
        <is>
          <t>A. Morales</t>
        </is>
      </c>
      <c r="D20" s="4" t="inlineStr">
        <is>
          <t>5104892</t>
        </is>
      </c>
      <c r="E20" s="4" t="inlineStr">
        <is>
          <t>NW-2025-8140</t>
        </is>
      </c>
      <c r="F20" s="3" t="inlineStr">
        <is>
          <t>CV-2280</t>
        </is>
      </c>
      <c r="G20" s="3" t="inlineStr">
        <is>
          <t>Navy</t>
        </is>
      </c>
      <c r="H20" s="5" t="n">
        <v>60</v>
      </c>
      <c r="I20" s="3" t="inlineStr">
        <is>
          <t>Other</t>
        </is>
      </c>
      <c r="J20" s="6" t="inlineStr">
        <is>
          <t>Ship-to address differs from PO</t>
        </is>
      </c>
    </row>
    <row r="21">
      <c r="A21" s="2" t="n">
        <v>45943</v>
      </c>
      <c r="B21" s="2" t="n">
        <v>45978</v>
      </c>
      <c r="C21" s="3" t="inlineStr">
        <is>
          <t>A. Morales</t>
        </is>
      </c>
      <c r="D21" s="4" t="inlineStr">
        <is>
          <t>5104893</t>
        </is>
      </c>
      <c r="E21" s="4" t="inlineStr">
        <is>
          <t>4500015706</t>
        </is>
      </c>
      <c r="F21" s="3" t="inlineStr">
        <is>
          <t>BX-2215</t>
        </is>
      </c>
      <c r="G21" s="3" t="inlineStr">
        <is>
          <t>White</t>
        </is>
      </c>
      <c r="H21" s="5" t="n">
        <v>100</v>
      </c>
      <c r="I21" s="3" t="inlineStr">
        <is>
          <t>Credit Hold</t>
        </is>
      </c>
      <c r="J21" s="6" t="inlineStr">
        <is>
          <t>Customer on credit hold; released to AR</t>
        </is>
      </c>
    </row>
    <row r="22">
      <c r="A22" s="2" t="n">
        <v>45943</v>
      </c>
      <c r="B22" s="2" t="n">
        <v>45999</v>
      </c>
      <c r="C22" s="3" t="inlineStr">
        <is>
          <t>A. Morales</t>
        </is>
      </c>
      <c r="D22" s="4" t="inlineStr">
        <is>
          <t>5104895</t>
        </is>
      </c>
      <c r="E22" s="4" t="inlineStr">
        <is>
          <t>215127</t>
        </is>
      </c>
      <c r="F22" s="3" t="inlineStr">
        <is>
          <t>BX-1120</t>
        </is>
      </c>
      <c r="G22" s="3" t="inlineStr">
        <is>
          <t>Black</t>
        </is>
      </c>
      <c r="H22" s="5" t="n">
        <v>100</v>
      </c>
      <c r="I22" s="3" t="inlineStr">
        <is>
          <t>Other</t>
        </is>
      </c>
      <c r="J22" s="6" t="inlineStr">
        <is>
          <t>Unit price differs from PO</t>
        </is>
      </c>
    </row>
    <row r="23">
      <c r="A23" s="2" t="n">
        <v>45943</v>
      </c>
      <c r="B23" s="2" t="n">
        <v>45999</v>
      </c>
      <c r="C23" s="3" t="inlineStr">
        <is>
          <t>A. Morales</t>
        </is>
      </c>
      <c r="D23" s="4" t="inlineStr">
        <is>
          <t>5104907</t>
        </is>
      </c>
      <c r="E23" s="4" t="inlineStr">
        <is>
          <t>833506</t>
        </is>
      </c>
      <c r="F23" s="3" t="inlineStr">
        <is>
          <t>LN-2215</t>
        </is>
      </c>
      <c r="G23" s="3" t="inlineStr">
        <is>
          <t>White</t>
        </is>
      </c>
      <c r="H23" s="5" t="n">
        <v>144</v>
      </c>
      <c r="I23" s="3" t="inlineStr">
        <is>
          <t>Correct</t>
        </is>
      </c>
      <c r="J23" s="6" t="inlineStr"/>
    </row>
    <row r="24">
      <c r="A24" s="2" t="n">
        <v>45943</v>
      </c>
      <c r="B24" s="2" t="n">
        <v>45985</v>
      </c>
      <c r="C24" s="3" t="inlineStr">
        <is>
          <t>B. Chen</t>
        </is>
      </c>
      <c r="D24" s="4" t="inlineStr">
        <is>
          <t>5104825</t>
        </is>
      </c>
      <c r="E24" s="4" t="inlineStr">
        <is>
          <t>PO-79477</t>
        </is>
      </c>
      <c r="F24" s="3" t="inlineStr">
        <is>
          <t>BX-2215</t>
        </is>
      </c>
      <c r="G24" s="3" t="inlineStr">
        <is>
          <t>Black</t>
        </is>
      </c>
      <c r="H24" s="5" t="n">
        <v>6</v>
      </c>
      <c r="I24" s="3" t="inlineStr">
        <is>
          <t>Correct</t>
        </is>
      </c>
      <c r="J24" s="6" t="inlineStr"/>
    </row>
    <row r="25">
      <c r="A25" s="2" t="n">
        <v>45943</v>
      </c>
      <c r="B25" s="2" t="n">
        <v>45985</v>
      </c>
      <c r="C25" s="3" t="inlineStr">
        <is>
          <t>B. Chen</t>
        </is>
      </c>
      <c r="D25" s="4" t="inlineStr">
        <is>
          <t>5104826</t>
        </is>
      </c>
      <c r="E25" s="4" t="inlineStr">
        <is>
          <t>PO-79477</t>
        </is>
      </c>
      <c r="F25" s="3" t="inlineStr">
        <is>
          <t>BX-2280</t>
        </is>
      </c>
      <c r="G25" s="3" t="inlineStr">
        <is>
          <t>Gray</t>
        </is>
      </c>
      <c r="H25" s="5" t="n">
        <v>48</v>
      </c>
      <c r="I25" s="3" t="inlineStr">
        <is>
          <t>Color</t>
        </is>
      </c>
      <c r="J25" s="6" t="inlineStr">
        <is>
          <t>PO calls for Navy</t>
        </is>
      </c>
    </row>
    <row r="26">
      <c r="A26" s="2" t="n">
        <v>45943</v>
      </c>
      <c r="B26" s="2" t="n">
        <v>45964</v>
      </c>
      <c r="C26" s="3" t="inlineStr">
        <is>
          <t>B. Chen</t>
        </is>
      </c>
      <c r="D26" s="4" t="inlineStr">
        <is>
          <t>5104827</t>
        </is>
      </c>
      <c r="E26" s="4" t="inlineStr">
        <is>
          <t>PO-79477</t>
        </is>
      </c>
      <c r="F26" s="3" t="inlineStr">
        <is>
          <t>CV-4410</t>
        </is>
      </c>
      <c r="G26" s="3" t="inlineStr">
        <is>
          <t>Gray</t>
        </is>
      </c>
      <c r="H26" s="5" t="n">
        <v>100</v>
      </c>
      <c r="I26" s="3" t="inlineStr">
        <is>
          <t>Correct</t>
        </is>
      </c>
      <c r="J26" s="6" t="inlineStr"/>
    </row>
    <row r="27">
      <c r="A27" s="2" t="n">
        <v>45943</v>
      </c>
      <c r="B27" s="2" t="n">
        <v>45978</v>
      </c>
      <c r="C27" s="3" t="inlineStr">
        <is>
          <t>B. Chen</t>
        </is>
      </c>
      <c r="D27" s="4" t="inlineStr">
        <is>
          <t>5104828</t>
        </is>
      </c>
      <c r="E27" s="4" t="inlineStr">
        <is>
          <t>PO-79477</t>
        </is>
      </c>
      <c r="F27" s="3" t="inlineStr">
        <is>
          <t>BX-4410</t>
        </is>
      </c>
      <c r="G27" s="3" t="inlineStr">
        <is>
          <t>Tan</t>
        </is>
      </c>
      <c r="H27" s="5" t="n">
        <v>12</v>
      </c>
      <c r="I27" s="3" t="inlineStr">
        <is>
          <t>Correct</t>
        </is>
      </c>
      <c r="J27" s="6" t="inlineStr"/>
    </row>
    <row r="28">
      <c r="A28" s="2" t="n">
        <v>45943</v>
      </c>
      <c r="B28" s="2" t="n">
        <v>45964</v>
      </c>
      <c r="C28" s="3" t="inlineStr">
        <is>
          <t>B. Chen</t>
        </is>
      </c>
      <c r="D28" s="4" t="inlineStr">
        <is>
          <t>5104829</t>
        </is>
      </c>
      <c r="E28" s="4" t="inlineStr">
        <is>
          <t>PO-79477</t>
        </is>
      </c>
      <c r="F28" s="3" t="inlineStr">
        <is>
          <t>CV-1120</t>
        </is>
      </c>
      <c r="G28" s="3" t="inlineStr">
        <is>
          <t>Green</t>
        </is>
      </c>
      <c r="H28" s="5" t="n">
        <v>24</v>
      </c>
      <c r="I28" s="3" t="inlineStr">
        <is>
          <t>Color</t>
        </is>
      </c>
      <c r="J28" s="6" t="inlineStr">
        <is>
          <t>PO calls for Black</t>
        </is>
      </c>
    </row>
    <row r="29">
      <c r="A29" s="2" t="n">
        <v>45943</v>
      </c>
      <c r="B29" s="2" t="n">
        <v>45937</v>
      </c>
      <c r="C29" s="3" t="inlineStr">
        <is>
          <t>B. Chen</t>
        </is>
      </c>
      <c r="D29" s="4" t="inlineStr">
        <is>
          <t>5104847</t>
        </is>
      </c>
      <c r="E29" s="4" t="inlineStr">
        <is>
          <t>620390</t>
        </is>
      </c>
      <c r="F29" s="3" t="inlineStr">
        <is>
          <t>TR-4410</t>
        </is>
      </c>
      <c r="G29" s="3" t="inlineStr">
        <is>
          <t>Gray</t>
        </is>
      </c>
      <c r="H29" s="5" t="n">
        <v>100</v>
      </c>
      <c r="I29" s="3" t="inlineStr">
        <is>
          <t>PAST DUE</t>
        </is>
      </c>
      <c r="J29" s="6" t="inlineStr">
        <is>
          <t>Promise date entered before order date</t>
        </is>
      </c>
    </row>
    <row r="30">
      <c r="A30" s="2" t="n">
        <v>45943</v>
      </c>
      <c r="B30" s="2" t="n">
        <v>45978</v>
      </c>
      <c r="C30" s="3" t="inlineStr">
        <is>
          <t>B. Chen</t>
        </is>
      </c>
      <c r="D30" s="4" t="inlineStr">
        <is>
          <t>5104848</t>
        </is>
      </c>
      <c r="E30" s="4" t="inlineStr">
        <is>
          <t>620390</t>
        </is>
      </c>
      <c r="F30" s="3" t="inlineStr">
        <is>
          <t>BX-1120</t>
        </is>
      </c>
      <c r="G30" s="3" t="inlineStr">
        <is>
          <t>Gray</t>
        </is>
      </c>
      <c r="H30" s="5" t="n">
        <v>100</v>
      </c>
      <c r="I30" s="3" t="inlineStr">
        <is>
          <t>Correct</t>
        </is>
      </c>
      <c r="J30" s="6" t="inlineStr"/>
    </row>
    <row r="31">
      <c r="A31" s="2" t="n">
        <v>45943</v>
      </c>
      <c r="B31" s="2" t="n">
        <v>45933</v>
      </c>
      <c r="C31" s="3" t="inlineStr">
        <is>
          <t>B. Chen</t>
        </is>
      </c>
      <c r="D31" s="4" t="inlineStr">
        <is>
          <t>5104849</t>
        </is>
      </c>
      <c r="E31" s="4" t="inlineStr">
        <is>
          <t>620390</t>
        </is>
      </c>
      <c r="F31" s="3" t="inlineStr">
        <is>
          <t>BX-3305</t>
        </is>
      </c>
      <c r="G31" s="3" t="inlineStr">
        <is>
          <t>Green</t>
        </is>
      </c>
      <c r="H31" s="5" t="n">
        <v>12</v>
      </c>
      <c r="I31" s="3" t="inlineStr">
        <is>
          <t>PAST DUE</t>
        </is>
      </c>
      <c r="J31" s="6" t="inlineStr">
        <is>
          <t>Promise date entered before order date</t>
        </is>
      </c>
    </row>
    <row r="32">
      <c r="A32" s="2" t="n">
        <v>45943</v>
      </c>
      <c r="B32" s="2" t="n">
        <v>45957</v>
      </c>
      <c r="C32" s="3" t="inlineStr">
        <is>
          <t>B. Chen</t>
        </is>
      </c>
      <c r="D32" s="4" t="inlineStr">
        <is>
          <t>5104859</t>
        </is>
      </c>
      <c r="E32" s="4" t="inlineStr">
        <is>
          <t>242943</t>
        </is>
      </c>
      <c r="F32" s="3" t="inlineStr">
        <is>
          <t>LN-2215</t>
        </is>
      </c>
      <c r="G32" s="3" t="inlineStr">
        <is>
          <t>Red</t>
        </is>
      </c>
      <c r="H32" s="5" t="n">
        <v>12</v>
      </c>
      <c r="I32" s="3" t="inlineStr">
        <is>
          <t>Correct</t>
        </is>
      </c>
      <c r="J32" s="6" t="inlineStr"/>
    </row>
    <row r="33">
      <c r="A33" s="2" t="n">
        <v>45943</v>
      </c>
      <c r="B33" s="2" t="n">
        <v>45978</v>
      </c>
      <c r="C33" s="3" t="inlineStr">
        <is>
          <t>B. Chen</t>
        </is>
      </c>
      <c r="D33" s="4" t="inlineStr">
        <is>
          <t>5104860</t>
        </is>
      </c>
      <c r="E33" s="4" t="inlineStr">
        <is>
          <t>242943</t>
        </is>
      </c>
      <c r="F33" s="3" t="inlineStr">
        <is>
          <t>TR-1120</t>
        </is>
      </c>
      <c r="G33" s="3" t="inlineStr">
        <is>
          <t>Gray</t>
        </is>
      </c>
      <c r="H33" s="5" t="n">
        <v>12</v>
      </c>
      <c r="I33" s="3" t="inlineStr">
        <is>
          <t>Correct</t>
        </is>
      </c>
      <c r="J33" s="6" t="inlineStr"/>
    </row>
    <row r="34">
      <c r="A34" s="2" t="n">
        <v>45943</v>
      </c>
      <c r="B34" s="2" t="n">
        <v>45978</v>
      </c>
      <c r="C34" s="3" t="inlineStr">
        <is>
          <t>B. Chen</t>
        </is>
      </c>
      <c r="D34" s="4" t="inlineStr">
        <is>
          <t>5104872</t>
        </is>
      </c>
      <c r="E34" s="4" t="inlineStr">
        <is>
          <t>NW-2025-8792</t>
        </is>
      </c>
      <c r="F34" s="3" t="inlineStr">
        <is>
          <t>TR-3305</t>
        </is>
      </c>
      <c r="G34" s="3" t="inlineStr">
        <is>
          <t>Green</t>
        </is>
      </c>
      <c r="H34" s="5" t="n">
        <v>24</v>
      </c>
      <c r="I34" s="3" t="inlineStr">
        <is>
          <t>QTY</t>
        </is>
      </c>
      <c r="J34" s="6" t="inlineStr">
        <is>
          <t>PO qty 48, SO qty 24</t>
        </is>
      </c>
    </row>
    <row r="35">
      <c r="A35" s="2" t="n">
        <v>45943</v>
      </c>
      <c r="B35" s="2" t="n">
        <v>45940</v>
      </c>
      <c r="C35" s="3" t="inlineStr">
        <is>
          <t>B. Chen</t>
        </is>
      </c>
      <c r="D35" s="4" t="inlineStr">
        <is>
          <t>5104873</t>
        </is>
      </c>
      <c r="E35" s="4" t="inlineStr">
        <is>
          <t>NW-2025-8792</t>
        </is>
      </c>
      <c r="F35" s="3" t="inlineStr">
        <is>
          <t>BX-4410</t>
        </is>
      </c>
      <c r="G35" s="3" t="inlineStr">
        <is>
          <t>Gray</t>
        </is>
      </c>
      <c r="H35" s="5" t="n">
        <v>6</v>
      </c>
      <c r="I35" s="3" t="inlineStr">
        <is>
          <t>PAST DUE</t>
        </is>
      </c>
      <c r="J35" s="6" t="inlineStr">
        <is>
          <t>Promise date entered before order date</t>
        </is>
      </c>
    </row>
    <row r="36">
      <c r="A36" s="2" t="n">
        <v>45943</v>
      </c>
      <c r="B36" s="2" t="n">
        <v>45999</v>
      </c>
      <c r="C36" s="3" t="inlineStr">
        <is>
          <t>B. Chen</t>
        </is>
      </c>
      <c r="D36" s="4" t="inlineStr">
        <is>
          <t>5104879</t>
        </is>
      </c>
      <c r="E36" s="4" t="inlineStr">
        <is>
          <t>141266</t>
        </is>
      </c>
      <c r="F36" s="3" t="inlineStr">
        <is>
          <t>CV-2215</t>
        </is>
      </c>
      <c r="G36" s="3" t="inlineStr">
        <is>
          <t>White</t>
        </is>
      </c>
      <c r="H36" s="5" t="n">
        <v>24</v>
      </c>
      <c r="I36" s="3" t="inlineStr">
        <is>
          <t>Correct</t>
        </is>
      </c>
      <c r="J36" s="6" t="inlineStr"/>
    </row>
    <row r="37">
      <c r="A37" s="2" t="n">
        <v>45943</v>
      </c>
      <c r="B37" s="2" t="n">
        <v>45964</v>
      </c>
      <c r="C37" s="3" t="inlineStr">
        <is>
          <t>B. Chen</t>
        </is>
      </c>
      <c r="D37" s="4" t="inlineStr">
        <is>
          <t>5104881</t>
        </is>
      </c>
      <c r="E37" s="4" t="inlineStr">
        <is>
          <t>141266</t>
        </is>
      </c>
      <c r="F37" s="3" t="inlineStr">
        <is>
          <t>TR-1120</t>
        </is>
      </c>
      <c r="G37" s="3" t="inlineStr">
        <is>
          <t>Gray</t>
        </is>
      </c>
      <c r="H37" s="5" t="n">
        <v>12</v>
      </c>
      <c r="I37" s="3" t="inlineStr">
        <is>
          <t>Shipped</t>
        </is>
      </c>
      <c r="J37" s="6" t="inlineStr">
        <is>
          <t>Line already shipped; no correction needed</t>
        </is>
      </c>
    </row>
    <row r="38">
      <c r="A38" s="2" t="n">
        <v>45943</v>
      </c>
      <c r="B38" s="2" t="n">
        <v>45964</v>
      </c>
      <c r="C38" s="3" t="inlineStr">
        <is>
          <t>B. Chen</t>
        </is>
      </c>
      <c r="D38" s="4" t="inlineStr">
        <is>
          <t>5104900</t>
        </is>
      </c>
      <c r="E38" s="4" t="inlineStr">
        <is>
          <t>PO-76905</t>
        </is>
      </c>
      <c r="F38" s="3" t="inlineStr">
        <is>
          <t>LN-1120</t>
        </is>
      </c>
      <c r="G38" s="3" t="inlineStr">
        <is>
          <t>Red</t>
        </is>
      </c>
      <c r="H38" s="5" t="n">
        <v>60</v>
      </c>
      <c r="I38" s="3" t="inlineStr">
        <is>
          <t>Correct</t>
        </is>
      </c>
      <c r="J38" s="6" t="inlineStr"/>
    </row>
    <row r="39">
      <c r="A39" s="2" t="n">
        <v>45943</v>
      </c>
      <c r="B39" s="2" t="n">
        <v>45985</v>
      </c>
      <c r="C39" s="3" t="inlineStr">
        <is>
          <t>B. Chen</t>
        </is>
      </c>
      <c r="D39" s="4" t="inlineStr">
        <is>
          <t>5104901</t>
        </is>
      </c>
      <c r="E39" s="4" t="inlineStr">
        <is>
          <t>515957</t>
        </is>
      </c>
      <c r="F39" s="3" t="inlineStr">
        <is>
          <t>LN-4410</t>
        </is>
      </c>
      <c r="G39" s="3" t="inlineStr">
        <is>
          <t>White</t>
        </is>
      </c>
      <c r="H39" s="5" t="n">
        <v>36</v>
      </c>
      <c r="I39" s="3" t="inlineStr">
        <is>
          <t>Correct</t>
        </is>
      </c>
      <c r="J39" s="6" t="inlineStr"/>
    </row>
    <row r="40">
      <c r="A40" s="2" t="n">
        <v>45943</v>
      </c>
      <c r="B40" s="2" t="n">
        <v>45964</v>
      </c>
      <c r="C40" s="3" t="inlineStr">
        <is>
          <t>B. Chen</t>
        </is>
      </c>
      <c r="D40" s="4" t="inlineStr">
        <is>
          <t>5104903</t>
        </is>
      </c>
      <c r="E40" s="4" t="inlineStr">
        <is>
          <t>NW-2025-7877</t>
        </is>
      </c>
      <c r="F40" s="3" t="inlineStr">
        <is>
          <t>CV-1040</t>
        </is>
      </c>
      <c r="G40" s="3" t="inlineStr">
        <is>
          <t>Red</t>
        </is>
      </c>
      <c r="H40" s="5" t="n">
        <v>24</v>
      </c>
      <c r="I40" s="3" t="inlineStr">
        <is>
          <t>Correct</t>
        </is>
      </c>
      <c r="J40" s="6" t="inlineStr"/>
    </row>
    <row r="41">
      <c r="A41" s="2" t="n">
        <v>45943</v>
      </c>
      <c r="B41" s="2" t="n">
        <v>45978</v>
      </c>
      <c r="C41" s="3" t="inlineStr">
        <is>
          <t>D. Okafor</t>
        </is>
      </c>
      <c r="D41" s="4" t="inlineStr">
        <is>
          <t>5104836</t>
        </is>
      </c>
      <c r="E41" s="4" t="inlineStr">
        <is>
          <t>NW-2025-9689</t>
        </is>
      </c>
      <c r="F41" s="3" t="inlineStr">
        <is>
          <t>TR-3305</t>
        </is>
      </c>
      <c r="G41" s="3" t="inlineStr">
        <is>
          <t>Navy</t>
        </is>
      </c>
      <c r="H41" s="5" t="n">
        <v>24</v>
      </c>
      <c r="I41" s="3" t="inlineStr">
        <is>
          <t>Correct</t>
        </is>
      </c>
      <c r="J41" s="6" t="inlineStr"/>
    </row>
    <row r="42">
      <c r="A42" s="2" t="n">
        <v>45943</v>
      </c>
      <c r="B42" s="2" t="n">
        <v>45957</v>
      </c>
      <c r="C42" s="3" t="inlineStr">
        <is>
          <t>D. Okafor</t>
        </is>
      </c>
      <c r="D42" s="4" t="inlineStr">
        <is>
          <t>5104837</t>
        </is>
      </c>
      <c r="E42" s="4" t="inlineStr">
        <is>
          <t>NW-2025-9689</t>
        </is>
      </c>
      <c r="F42" s="3" t="inlineStr">
        <is>
          <t>LN-3305</t>
        </is>
      </c>
      <c r="G42" s="3" t="inlineStr">
        <is>
          <t>Green</t>
        </is>
      </c>
      <c r="H42" s="5" t="n">
        <v>12</v>
      </c>
      <c r="I42" s="3" t="inlineStr">
        <is>
          <t>QTY</t>
        </is>
      </c>
      <c r="J42" s="6" t="inlineStr">
        <is>
          <t>PO qty 24, SO qty 12</t>
        </is>
      </c>
    </row>
    <row r="43">
      <c r="A43" s="2" t="n">
        <v>45943</v>
      </c>
      <c r="B43" s="2" t="n">
        <v>45999</v>
      </c>
      <c r="C43" s="3" t="inlineStr">
        <is>
          <t>D. Okafor</t>
        </is>
      </c>
      <c r="D43" s="4" t="inlineStr">
        <is>
          <t>5104838</t>
        </is>
      </c>
      <c r="E43" s="4" t="inlineStr">
        <is>
          <t>NW-2025-9689</t>
        </is>
      </c>
      <c r="F43" s="3" t="inlineStr">
        <is>
          <t>LN-2280</t>
        </is>
      </c>
      <c r="G43" s="3" t="inlineStr">
        <is>
          <t>Gray</t>
        </is>
      </c>
      <c r="H43" s="5" t="n">
        <v>48</v>
      </c>
      <c r="I43" s="3" t="inlineStr">
        <is>
          <t>Correct</t>
        </is>
      </c>
      <c r="J43" s="6" t="inlineStr"/>
    </row>
    <row r="44">
      <c r="A44" s="2" t="n">
        <v>45943</v>
      </c>
      <c r="B44" s="2" t="n">
        <v>45957</v>
      </c>
      <c r="C44" s="3" t="inlineStr">
        <is>
          <t>D. Okafor</t>
        </is>
      </c>
      <c r="D44" s="4" t="inlineStr">
        <is>
          <t>5104839</t>
        </is>
      </c>
      <c r="E44" s="4" t="inlineStr">
        <is>
          <t>NW-2025-9689</t>
        </is>
      </c>
      <c r="F44" s="3" t="inlineStr">
        <is>
          <t>BX-2280</t>
        </is>
      </c>
      <c r="G44" s="3" t="inlineStr">
        <is>
          <t>White</t>
        </is>
      </c>
      <c r="H44" s="5" t="n">
        <v>6</v>
      </c>
      <c r="I44" s="3" t="inlineStr">
        <is>
          <t>Correct</t>
        </is>
      </c>
      <c r="J44" s="6" t="inlineStr"/>
    </row>
    <row r="45">
      <c r="A45" s="2" t="n">
        <v>45943</v>
      </c>
      <c r="B45" s="2" t="n">
        <v>45971</v>
      </c>
      <c r="C45" s="3" t="inlineStr">
        <is>
          <t>D. Okafor</t>
        </is>
      </c>
      <c r="D45" s="4" t="inlineStr">
        <is>
          <t>5104851</t>
        </is>
      </c>
      <c r="E45" s="4" t="inlineStr">
        <is>
          <t>NW-2025-7025</t>
        </is>
      </c>
      <c r="F45" s="3" t="inlineStr">
        <is>
          <t>TR-1120</t>
        </is>
      </c>
      <c r="G45" s="3" t="inlineStr">
        <is>
          <t>Tan</t>
        </is>
      </c>
      <c r="H45" s="5" t="n">
        <v>12</v>
      </c>
      <c r="I45" s="3" t="inlineStr">
        <is>
          <t>Correct</t>
        </is>
      </c>
      <c r="J45" s="6" t="inlineStr"/>
    </row>
    <row r="46">
      <c r="A46" s="2" t="n">
        <v>45943</v>
      </c>
      <c r="B46" s="2" t="n">
        <v>45957</v>
      </c>
      <c r="C46" s="3" t="inlineStr">
        <is>
          <t>D. Okafor</t>
        </is>
      </c>
      <c r="D46" s="4" t="inlineStr">
        <is>
          <t>5104852</t>
        </is>
      </c>
      <c r="E46" s="4" t="inlineStr">
        <is>
          <t>NW-2025-7025</t>
        </is>
      </c>
      <c r="F46" s="3" t="inlineStr">
        <is>
          <t>CV-2215</t>
        </is>
      </c>
      <c r="G46" s="3" t="inlineStr">
        <is>
          <t>White</t>
        </is>
      </c>
      <c r="H46" s="5" t="n">
        <v>6</v>
      </c>
      <c r="I46" s="3" t="inlineStr">
        <is>
          <t>Correct</t>
        </is>
      </c>
      <c r="J46" s="6" t="inlineStr"/>
    </row>
    <row r="47">
      <c r="A47" s="2" t="n">
        <v>45943</v>
      </c>
      <c r="B47" s="2" t="n">
        <v>45964</v>
      </c>
      <c r="C47" s="3" t="inlineStr">
        <is>
          <t>D. Okafor</t>
        </is>
      </c>
      <c r="D47" s="4" t="inlineStr">
        <is>
          <t>5104853</t>
        </is>
      </c>
      <c r="E47" s="4" t="inlineStr">
        <is>
          <t>NW-2025-7025</t>
        </is>
      </c>
      <c r="F47" s="3" t="inlineStr">
        <is>
          <t>CV-2215</t>
        </is>
      </c>
      <c r="G47" s="3" t="inlineStr">
        <is>
          <t>White</t>
        </is>
      </c>
      <c r="H47" s="5" t="n">
        <v>144</v>
      </c>
      <c r="I47" s="3" t="inlineStr">
        <is>
          <t>Shipped</t>
        </is>
      </c>
      <c r="J47" s="6" t="inlineStr">
        <is>
          <t>Line already shipped; no correction needed</t>
        </is>
      </c>
    </row>
    <row r="48">
      <c r="A48" s="2" t="n">
        <v>45943</v>
      </c>
      <c r="B48" s="2" t="n">
        <v>45985</v>
      </c>
      <c r="C48" s="3" t="inlineStr">
        <is>
          <t>D. Okafor</t>
        </is>
      </c>
      <c r="D48" s="4" t="inlineStr">
        <is>
          <t>5104869</t>
        </is>
      </c>
      <c r="E48" s="4" t="inlineStr">
        <is>
          <t>139904</t>
        </is>
      </c>
      <c r="F48" s="3" t="inlineStr">
        <is>
          <t>TR-3305</t>
        </is>
      </c>
      <c r="G48" s="3" t="inlineStr">
        <is>
          <t>Tan</t>
        </is>
      </c>
      <c r="H48" s="5" t="n">
        <v>24</v>
      </c>
      <c r="I48" s="3" t="inlineStr">
        <is>
          <t>Correct</t>
        </is>
      </c>
      <c r="J48" s="6" t="inlineStr"/>
    </row>
    <row r="49">
      <c r="A49" s="2" t="n">
        <v>45943</v>
      </c>
      <c r="B49" s="2" t="n">
        <v>45957</v>
      </c>
      <c r="C49" s="3" t="inlineStr">
        <is>
          <t>D. Okafor</t>
        </is>
      </c>
      <c r="D49" s="4" t="inlineStr">
        <is>
          <t>5104870</t>
        </is>
      </c>
      <c r="E49" s="4" t="inlineStr">
        <is>
          <t>139904</t>
        </is>
      </c>
      <c r="F49" s="3" t="inlineStr">
        <is>
          <t>TR-2280</t>
        </is>
      </c>
      <c r="G49" s="3" t="inlineStr">
        <is>
          <t>Navy</t>
        </is>
      </c>
      <c r="H49" s="5" t="n">
        <v>60</v>
      </c>
      <c r="I49" s="3" t="inlineStr">
        <is>
          <t>QTY</t>
        </is>
      </c>
      <c r="J49" s="6" t="inlineStr">
        <is>
          <t>PO qty 30, SO qty 60</t>
        </is>
      </c>
    </row>
    <row r="50">
      <c r="A50" s="2" t="n">
        <v>45943</v>
      </c>
      <c r="B50" s="2" t="n">
        <v>45933</v>
      </c>
      <c r="C50" s="3" t="inlineStr">
        <is>
          <t>D. Okafor</t>
        </is>
      </c>
      <c r="D50" s="4" t="inlineStr">
        <is>
          <t>5104877</t>
        </is>
      </c>
      <c r="E50" s="4" t="inlineStr">
        <is>
          <t>PO-89136</t>
        </is>
      </c>
      <c r="F50" s="3" t="inlineStr">
        <is>
          <t>BX-1120</t>
        </is>
      </c>
      <c r="G50" s="3" t="inlineStr">
        <is>
          <t>Tan</t>
        </is>
      </c>
      <c r="H50" s="5" t="n">
        <v>24</v>
      </c>
      <c r="I50" s="3" t="inlineStr">
        <is>
          <t>PAST DUE</t>
        </is>
      </c>
      <c r="J50" s="6" t="inlineStr">
        <is>
          <t>Promise date entered before order date</t>
        </is>
      </c>
    </row>
    <row r="51">
      <c r="A51" s="2" t="n">
        <v>45943</v>
      </c>
      <c r="B51" s="2" t="n">
        <v>45964</v>
      </c>
      <c r="C51" s="3" t="inlineStr">
        <is>
          <t>D. Okafor</t>
        </is>
      </c>
      <c r="D51" s="4" t="inlineStr">
        <is>
          <t>5104878</t>
        </is>
      </c>
      <c r="E51" s="4" t="inlineStr">
        <is>
          <t>PO-89136</t>
        </is>
      </c>
      <c r="F51" s="3" t="inlineStr">
        <is>
          <t>TR-1120</t>
        </is>
      </c>
      <c r="G51" s="3" t="inlineStr">
        <is>
          <t>Green</t>
        </is>
      </c>
      <c r="H51" s="5" t="n">
        <v>24</v>
      </c>
      <c r="I51" s="3" t="inlineStr">
        <is>
          <t>Correct</t>
        </is>
      </c>
      <c r="J51" s="6" t="inlineStr"/>
    </row>
    <row r="52">
      <c r="A52" s="2" t="n">
        <v>45943</v>
      </c>
      <c r="B52" s="2" t="n">
        <v>45964</v>
      </c>
      <c r="C52" s="3" t="inlineStr">
        <is>
          <t>D. Okafor</t>
        </is>
      </c>
      <c r="D52" s="4" t="inlineStr">
        <is>
          <t>5104884</t>
        </is>
      </c>
      <c r="E52" s="4" t="inlineStr">
        <is>
          <t>4500073350</t>
        </is>
      </c>
      <c r="F52" s="3" t="inlineStr">
        <is>
          <t>LN-1120</t>
        </is>
      </c>
      <c r="G52" s="3" t="inlineStr">
        <is>
          <t>Black</t>
        </is>
      </c>
      <c r="H52" s="5" t="n">
        <v>12</v>
      </c>
      <c r="I52" s="3" t="inlineStr">
        <is>
          <t>Correct</t>
        </is>
      </c>
      <c r="J52" s="6" t="inlineStr"/>
    </row>
    <row r="53">
      <c r="A53" s="2" t="n">
        <v>45943</v>
      </c>
      <c r="B53" s="2" t="n">
        <v>45985</v>
      </c>
      <c r="C53" s="3" t="inlineStr">
        <is>
          <t>D. Okafor</t>
        </is>
      </c>
      <c r="D53" s="4" t="inlineStr">
        <is>
          <t>5104886</t>
        </is>
      </c>
      <c r="E53" s="4" t="inlineStr">
        <is>
          <t>4500073350</t>
        </is>
      </c>
      <c r="F53" s="3" t="inlineStr">
        <is>
          <t>BX-3305</t>
        </is>
      </c>
      <c r="G53" s="3" t="inlineStr">
        <is>
          <t>Red</t>
        </is>
      </c>
      <c r="H53" s="5" t="n">
        <v>144</v>
      </c>
      <c r="I53" s="3" t="inlineStr">
        <is>
          <t>Correct</t>
        </is>
      </c>
      <c r="J53" s="6" t="inlineStr"/>
    </row>
    <row r="54">
      <c r="A54" s="2" t="n">
        <v>45943</v>
      </c>
      <c r="B54" s="2" t="n">
        <v>45971</v>
      </c>
      <c r="C54" s="3" t="inlineStr">
        <is>
          <t>D. Okafor</t>
        </is>
      </c>
      <c r="D54" s="4" t="inlineStr">
        <is>
          <t>5104896</t>
        </is>
      </c>
      <c r="E54" s="4" t="inlineStr">
        <is>
          <t>NW-2025-6429</t>
        </is>
      </c>
      <c r="F54" s="3" t="inlineStr">
        <is>
          <t>LN-2280</t>
        </is>
      </c>
      <c r="G54" s="3" t="inlineStr">
        <is>
          <t>Black</t>
        </is>
      </c>
      <c r="H54" s="5" t="n">
        <v>36</v>
      </c>
      <c r="I54" s="3" t="inlineStr">
        <is>
          <t>Correct</t>
        </is>
      </c>
      <c r="J54" s="6" t="inlineStr"/>
    </row>
    <row r="55">
      <c r="A55" s="2" t="n">
        <v>45943</v>
      </c>
      <c r="B55" s="2" t="n">
        <v>45957</v>
      </c>
      <c r="C55" s="3" t="inlineStr">
        <is>
          <t>D. Okafor</t>
        </is>
      </c>
      <c r="D55" s="4" t="inlineStr">
        <is>
          <t>5104909</t>
        </is>
      </c>
      <c r="E55" s="4" t="inlineStr">
        <is>
          <t>NW-2025-7867</t>
        </is>
      </c>
      <c r="F55" s="3" t="inlineStr">
        <is>
          <t>TR-4410</t>
        </is>
      </c>
      <c r="G55" s="3" t="inlineStr">
        <is>
          <t>Green</t>
        </is>
      </c>
      <c r="H55" s="5" t="n">
        <v>6</v>
      </c>
      <c r="I55" s="3" t="inlineStr">
        <is>
          <t>Correct</t>
        </is>
      </c>
      <c r="J55" s="6" t="inlineStr"/>
    </row>
    <row r="56">
      <c r="A56" s="2" t="n">
        <v>45943</v>
      </c>
      <c r="B56" s="2" t="n">
        <v>45964</v>
      </c>
      <c r="C56" s="3" t="inlineStr">
        <is>
          <t>J. Patel</t>
        </is>
      </c>
      <c r="D56" s="4" t="inlineStr">
        <is>
          <t>5104840</t>
        </is>
      </c>
      <c r="E56" s="4" t="inlineStr">
        <is>
          <t>4500056087</t>
        </is>
      </c>
      <c r="F56" s="3" t="inlineStr">
        <is>
          <t>BX-2215</t>
        </is>
      </c>
      <c r="G56" s="3" t="inlineStr">
        <is>
          <t>Gray</t>
        </is>
      </c>
      <c r="H56" s="5" t="n">
        <v>6</v>
      </c>
      <c r="I56" s="3" t="inlineStr">
        <is>
          <t>Correct</t>
        </is>
      </c>
      <c r="J56" s="6" t="inlineStr"/>
    </row>
    <row r="57">
      <c r="A57" s="2" t="n">
        <v>45943</v>
      </c>
      <c r="B57" s="2" t="n">
        <v>45957</v>
      </c>
      <c r="C57" s="3" t="inlineStr">
        <is>
          <t>J. Patel</t>
        </is>
      </c>
      <c r="D57" s="4" t="inlineStr">
        <is>
          <t>5104841</t>
        </is>
      </c>
      <c r="E57" s="4" t="inlineStr">
        <is>
          <t>4500056087</t>
        </is>
      </c>
      <c r="F57" s="3" t="inlineStr">
        <is>
          <t>TR-3305</t>
        </is>
      </c>
      <c r="G57" s="3" t="inlineStr">
        <is>
          <t>Tan</t>
        </is>
      </c>
      <c r="H57" s="5" t="n">
        <v>6</v>
      </c>
      <c r="I57" s="3" t="inlineStr">
        <is>
          <t>Correct</t>
        </is>
      </c>
      <c r="J57" s="6" t="inlineStr"/>
    </row>
    <row r="58">
      <c r="A58" s="2" t="n">
        <v>45943</v>
      </c>
      <c r="B58" s="2" t="n">
        <v>45964</v>
      </c>
      <c r="C58" s="3" t="inlineStr">
        <is>
          <t>J. Patel</t>
        </is>
      </c>
      <c r="D58" s="4" t="inlineStr">
        <is>
          <t>5104842</t>
        </is>
      </c>
      <c r="E58" s="4" t="inlineStr">
        <is>
          <t>4500056087</t>
        </is>
      </c>
      <c r="F58" s="3" t="inlineStr">
        <is>
          <t>TR-3305</t>
        </is>
      </c>
      <c r="G58" s="3" t="inlineStr">
        <is>
          <t>Navy</t>
        </is>
      </c>
      <c r="H58" s="5" t="n">
        <v>57000</v>
      </c>
      <c r="I58" s="3" t="inlineStr">
        <is>
          <t>QTY</t>
        </is>
      </c>
      <c r="J58" s="6" t="inlineStr">
        <is>
          <t>PO qty 5,700, SO qty 57,000 (extra zero)</t>
        </is>
      </c>
    </row>
    <row r="59">
      <c r="A59" s="2" t="n">
        <v>45943</v>
      </c>
      <c r="B59" s="2" t="n">
        <v>45978</v>
      </c>
      <c r="C59" s="3" t="inlineStr">
        <is>
          <t>J. Patel</t>
        </is>
      </c>
      <c r="D59" s="4" t="inlineStr">
        <is>
          <t>5104854</t>
        </is>
      </c>
      <c r="E59" s="4" t="inlineStr">
        <is>
          <t>4500072381</t>
        </is>
      </c>
      <c r="F59" s="3" t="inlineStr">
        <is>
          <t>LN-1120</t>
        </is>
      </c>
      <c r="G59" s="3" t="inlineStr">
        <is>
          <t>Navy</t>
        </is>
      </c>
      <c r="H59" s="5" t="n">
        <v>144</v>
      </c>
      <c r="I59" s="3" t="inlineStr">
        <is>
          <t>Correct</t>
        </is>
      </c>
      <c r="J59" s="6" t="inlineStr"/>
    </row>
    <row r="60">
      <c r="A60" s="2" t="n">
        <v>45943</v>
      </c>
      <c r="B60" s="2" t="n">
        <v>45971</v>
      </c>
      <c r="C60" s="3" t="inlineStr">
        <is>
          <t>J. Patel</t>
        </is>
      </c>
      <c r="D60" s="4" t="inlineStr">
        <is>
          <t>5104855</t>
        </is>
      </c>
      <c r="E60" s="4" t="inlineStr">
        <is>
          <t>4500072381</t>
        </is>
      </c>
      <c r="F60" s="3" t="inlineStr">
        <is>
          <t>BX-3305</t>
        </is>
      </c>
      <c r="G60" s="3" t="inlineStr">
        <is>
          <t>Navy</t>
        </is>
      </c>
      <c r="H60" s="5" t="n">
        <v>12</v>
      </c>
      <c r="I60" s="3" t="inlineStr">
        <is>
          <t>Correct</t>
        </is>
      </c>
      <c r="J60" s="6" t="inlineStr"/>
    </row>
    <row r="61">
      <c r="A61" s="2" t="n">
        <v>45943</v>
      </c>
      <c r="B61" s="2" t="n">
        <v>45964</v>
      </c>
      <c r="C61" s="3" t="inlineStr">
        <is>
          <t>J. Patel</t>
        </is>
      </c>
      <c r="D61" s="4" t="inlineStr">
        <is>
          <t>5104856</t>
        </is>
      </c>
      <c r="E61" s="4" t="inlineStr">
        <is>
          <t>4500072381</t>
        </is>
      </c>
      <c r="F61" s="3" t="inlineStr">
        <is>
          <t>TR-4410</t>
        </is>
      </c>
      <c r="G61" s="3" t="inlineStr">
        <is>
          <t>Green</t>
        </is>
      </c>
      <c r="H61" s="5" t="n">
        <v>12</v>
      </c>
      <c r="I61" s="3" t="inlineStr">
        <is>
          <t>Color</t>
        </is>
      </c>
      <c r="J61" s="6" t="inlineStr">
        <is>
          <t>PO calls for Gray</t>
        </is>
      </c>
    </row>
    <row r="62">
      <c r="A62" s="2" t="n">
        <v>45943</v>
      </c>
      <c r="B62" s="2" t="n">
        <v>45971</v>
      </c>
      <c r="C62" s="3" t="inlineStr">
        <is>
          <t>J. Patel</t>
        </is>
      </c>
      <c r="D62" s="4" t="inlineStr">
        <is>
          <t>5104866</t>
        </is>
      </c>
      <c r="E62" s="4" t="inlineStr">
        <is>
          <t>PO-71875</t>
        </is>
      </c>
      <c r="F62" s="3" t="inlineStr">
        <is>
          <t>LN-2280</t>
        </is>
      </c>
      <c r="G62" s="3" t="inlineStr">
        <is>
          <t>Black</t>
        </is>
      </c>
      <c r="H62" s="5" t="n">
        <v>24</v>
      </c>
      <c r="I62" s="3" t="inlineStr">
        <is>
          <t>Missing PO</t>
        </is>
      </c>
      <c r="J62" s="6" t="inlineStr">
        <is>
          <t>PO number on SO doesn't match any PO received</t>
        </is>
      </c>
    </row>
    <row r="63">
      <c r="A63" s="2" t="n">
        <v>45943</v>
      </c>
      <c r="B63" s="2" t="n">
        <v>45964</v>
      </c>
      <c r="C63" s="3" t="inlineStr">
        <is>
          <t>J. Patel</t>
        </is>
      </c>
      <c r="D63" s="4" t="inlineStr">
        <is>
          <t>5104867</t>
        </is>
      </c>
      <c r="E63" s="4" t="inlineStr">
        <is>
          <t>PO-71875</t>
        </is>
      </c>
      <c r="F63" s="3" t="inlineStr">
        <is>
          <t>BX-1040</t>
        </is>
      </c>
      <c r="G63" s="3" t="inlineStr">
        <is>
          <t>Red</t>
        </is>
      </c>
      <c r="H63" s="5" t="n">
        <v>6</v>
      </c>
      <c r="I63" s="3" t="inlineStr">
        <is>
          <t>Missing PO</t>
        </is>
      </c>
      <c r="J63" s="6" t="inlineStr">
        <is>
          <t>PO number on SO doesn't match any PO received</t>
        </is>
      </c>
    </row>
    <row r="64">
      <c r="A64" s="2" t="n">
        <v>45943</v>
      </c>
      <c r="B64" s="2" t="n">
        <v>45971</v>
      </c>
      <c r="C64" s="3" t="inlineStr">
        <is>
          <t>J. Patel</t>
        </is>
      </c>
      <c r="D64" s="4" t="inlineStr">
        <is>
          <t>5104887</t>
        </is>
      </c>
      <c r="E64" s="4" t="inlineStr">
        <is>
          <t>PO-79103</t>
        </is>
      </c>
      <c r="F64" s="3" t="inlineStr">
        <is>
          <t>LN-4410</t>
        </is>
      </c>
      <c r="G64" s="3" t="inlineStr">
        <is>
          <t>Red</t>
        </is>
      </c>
      <c r="H64" s="5" t="n">
        <v>36</v>
      </c>
      <c r="I64" s="3" t="inlineStr">
        <is>
          <t>Correct</t>
        </is>
      </c>
      <c r="J64" s="6" t="inlineStr"/>
    </row>
    <row r="65">
      <c r="A65" s="2" t="n">
        <v>45943</v>
      </c>
      <c r="B65" s="2" t="n">
        <v>45964</v>
      </c>
      <c r="C65" s="3" t="inlineStr">
        <is>
          <t>J. Patel</t>
        </is>
      </c>
      <c r="D65" s="4" t="inlineStr">
        <is>
          <t>5104888</t>
        </is>
      </c>
      <c r="E65" s="4" t="inlineStr">
        <is>
          <t>PO-79103</t>
        </is>
      </c>
      <c r="F65" s="3" t="inlineStr">
        <is>
          <t>LN-2215</t>
        </is>
      </c>
      <c r="G65" s="3" t="inlineStr">
        <is>
          <t>White</t>
        </is>
      </c>
      <c r="H65" s="5" t="n">
        <v>36</v>
      </c>
      <c r="I65" s="3" t="inlineStr">
        <is>
          <t>Correct</t>
        </is>
      </c>
      <c r="J65" s="6" t="inlineStr"/>
    </row>
    <row r="66">
      <c r="A66" s="2" t="n">
        <v>45943</v>
      </c>
      <c r="B66" s="2" t="n">
        <v>45971</v>
      </c>
      <c r="C66" s="3" t="inlineStr">
        <is>
          <t>J. Patel</t>
        </is>
      </c>
      <c r="D66" s="4" t="inlineStr">
        <is>
          <t>5104894</t>
        </is>
      </c>
      <c r="E66" s="4" t="inlineStr">
        <is>
          <t>PO-63371</t>
        </is>
      </c>
      <c r="F66" s="3" t="inlineStr">
        <is>
          <t>CV-4410</t>
        </is>
      </c>
      <c r="G66" s="3" t="inlineStr">
        <is>
          <t>Tan</t>
        </is>
      </c>
      <c r="H66" s="5" t="n">
        <v>144</v>
      </c>
      <c r="I66" s="3" t="inlineStr">
        <is>
          <t>Correct</t>
        </is>
      </c>
      <c r="J66" s="6" t="inlineStr"/>
    </row>
    <row r="67">
      <c r="A67" s="2" t="n">
        <v>45943</v>
      </c>
      <c r="B67" s="2" t="n">
        <v>45964</v>
      </c>
      <c r="C67" s="3" t="inlineStr">
        <is>
          <t>J. Patel</t>
        </is>
      </c>
      <c r="D67" s="4" t="inlineStr">
        <is>
          <t>5104898</t>
        </is>
      </c>
      <c r="E67" s="4" t="inlineStr">
        <is>
          <t>4500098490</t>
        </is>
      </c>
      <c r="F67" s="3" t="inlineStr">
        <is>
          <t>LN-1040</t>
        </is>
      </c>
      <c r="G67" s="3" t="inlineStr">
        <is>
          <t>White</t>
        </is>
      </c>
      <c r="H67" s="5" t="n">
        <v>12</v>
      </c>
      <c r="I67" s="3" t="inlineStr">
        <is>
          <t>Correct</t>
        </is>
      </c>
      <c r="J67" s="6" t="inlineStr"/>
    </row>
    <row r="68">
      <c r="A68" s="2" t="n">
        <v>45943</v>
      </c>
      <c r="B68" s="2" t="n">
        <v>45964</v>
      </c>
      <c r="C68" s="3" t="inlineStr">
        <is>
          <t>J. Patel</t>
        </is>
      </c>
      <c r="D68" s="4" t="inlineStr">
        <is>
          <t>5104910</t>
        </is>
      </c>
      <c r="E68" s="4" t="inlineStr">
        <is>
          <t>4500017966</t>
        </is>
      </c>
      <c r="F68" s="3" t="inlineStr">
        <is>
          <t>BX-3305</t>
        </is>
      </c>
      <c r="G68" s="3" t="inlineStr">
        <is>
          <t>Black</t>
        </is>
      </c>
      <c r="H68" s="5" t="n">
        <v>12</v>
      </c>
      <c r="I68" s="3" t="inlineStr">
        <is>
          <t>QTY</t>
        </is>
      </c>
      <c r="J68" s="6" t="inlineStr">
        <is>
          <t>PO qty 24, SO qty 12</t>
        </is>
      </c>
    </row>
    <row r="69">
      <c r="A69" s="2" t="n">
        <v>45943</v>
      </c>
      <c r="B69" s="2" t="n">
        <v>45964</v>
      </c>
      <c r="C69" s="3" t="inlineStr">
        <is>
          <t>J. Patel</t>
        </is>
      </c>
      <c r="D69" s="4" t="inlineStr">
        <is>
          <t>5104911</t>
        </is>
      </c>
      <c r="E69" s="4" t="inlineStr">
        <is>
          <t>PO-93515</t>
        </is>
      </c>
      <c r="F69" s="3" t="inlineStr">
        <is>
          <t>LN-4410</t>
        </is>
      </c>
      <c r="G69" s="3" t="inlineStr">
        <is>
          <t>Gray</t>
        </is>
      </c>
      <c r="H69" s="5" t="n">
        <v>36</v>
      </c>
      <c r="I69" s="3" t="inlineStr">
        <is>
          <t>Correct</t>
        </is>
      </c>
      <c r="J69" s="6" t="inlineStr"/>
    </row>
    <row r="70">
      <c r="A70" s="2" t="n">
        <v>45943</v>
      </c>
      <c r="B70" s="2" t="n">
        <v>45978</v>
      </c>
      <c r="C70" s="3" t="inlineStr">
        <is>
          <t>K. Russo</t>
        </is>
      </c>
      <c r="D70" s="4" t="inlineStr">
        <is>
          <t>5104857</t>
        </is>
      </c>
      <c r="E70" s="4" t="inlineStr">
        <is>
          <t>PO-66793</t>
        </is>
      </c>
      <c r="F70" s="3" t="inlineStr">
        <is>
          <t>TR-1040</t>
        </is>
      </c>
      <c r="G70" s="3" t="inlineStr">
        <is>
          <t>Tan</t>
        </is>
      </c>
      <c r="H70" s="5" t="n">
        <v>6</v>
      </c>
      <c r="I70" s="3" t="inlineStr">
        <is>
          <t>Credit Hold</t>
        </is>
      </c>
      <c r="J70" s="6" t="inlineStr">
        <is>
          <t>Customer on credit hold; released to AR</t>
        </is>
      </c>
    </row>
    <row r="71">
      <c r="A71" s="2" t="n">
        <v>45943</v>
      </c>
      <c r="B71" s="2" t="n">
        <v>45957</v>
      </c>
      <c r="C71" s="3" t="inlineStr">
        <is>
          <t>K. Russo</t>
        </is>
      </c>
      <c r="D71" s="4" t="inlineStr">
        <is>
          <t>5104858</t>
        </is>
      </c>
      <c r="E71" s="4" t="inlineStr">
        <is>
          <t>PO-66793</t>
        </is>
      </c>
      <c r="F71" s="3" t="inlineStr">
        <is>
          <t>CV-4410</t>
        </is>
      </c>
      <c r="G71" s="3" t="inlineStr">
        <is>
          <t>Gray</t>
        </is>
      </c>
      <c r="H71" s="5" t="n">
        <v>24</v>
      </c>
      <c r="I71" s="3" t="inlineStr">
        <is>
          <t>Credit Hold</t>
        </is>
      </c>
      <c r="J71" s="6" t="inlineStr">
        <is>
          <t>Customer on credit hold; released to AR</t>
        </is>
      </c>
    </row>
    <row r="72">
      <c r="A72" s="2" t="n">
        <v>45943</v>
      </c>
      <c r="B72" s="2" t="n">
        <v>45978</v>
      </c>
      <c r="C72" s="3" t="inlineStr">
        <is>
          <t>K. Russo</t>
        </is>
      </c>
      <c r="D72" s="4" t="inlineStr">
        <is>
          <t>5104861</t>
        </is>
      </c>
      <c r="E72" s="4" t="inlineStr">
        <is>
          <t>NW-2025-6464</t>
        </is>
      </c>
      <c r="F72" s="3" t="inlineStr">
        <is>
          <t>BX-2215</t>
        </is>
      </c>
      <c r="G72" s="3" t="inlineStr">
        <is>
          <t>White</t>
        </is>
      </c>
      <c r="H72" s="5" t="n">
        <v>144</v>
      </c>
      <c r="I72" s="3" t="inlineStr">
        <is>
          <t>Correct</t>
        </is>
      </c>
      <c r="J72" s="6" t="inlineStr"/>
    </row>
    <row r="73">
      <c r="A73" s="2" t="n">
        <v>45943</v>
      </c>
      <c r="B73" s="2" t="n">
        <v>45957</v>
      </c>
      <c r="C73" s="3" t="inlineStr">
        <is>
          <t>K. Russo</t>
        </is>
      </c>
      <c r="D73" s="4" t="inlineStr">
        <is>
          <t>5104862</t>
        </is>
      </c>
      <c r="E73" s="4" t="inlineStr">
        <is>
          <t>NW-2025-6464</t>
        </is>
      </c>
      <c r="F73" s="3" t="inlineStr">
        <is>
          <t>LN-2215</t>
        </is>
      </c>
      <c r="G73" s="3" t="inlineStr">
        <is>
          <t>Tan</t>
        </is>
      </c>
      <c r="H73" s="5" t="n">
        <v>12</v>
      </c>
      <c r="I73" s="3" t="inlineStr">
        <is>
          <t>Correct</t>
        </is>
      </c>
      <c r="J73" s="6" t="inlineStr"/>
    </row>
    <row r="74">
      <c r="A74" s="2" t="n">
        <v>45943</v>
      </c>
      <c r="B74" s="2" t="n">
        <v>45999</v>
      </c>
      <c r="C74" s="3" t="inlineStr">
        <is>
          <t>K. Russo</t>
        </is>
      </c>
      <c r="D74" s="4" t="inlineStr">
        <is>
          <t>5104874</t>
        </is>
      </c>
      <c r="E74" s="4" t="inlineStr">
        <is>
          <t>4500056622</t>
        </is>
      </c>
      <c r="F74" s="3" t="inlineStr">
        <is>
          <t>BX-2280</t>
        </is>
      </c>
      <c r="G74" s="3" t="inlineStr">
        <is>
          <t>White</t>
        </is>
      </c>
      <c r="H74" s="5" t="n">
        <v>60</v>
      </c>
      <c r="I74" s="3" t="inlineStr">
        <is>
          <t>Shipped</t>
        </is>
      </c>
      <c r="J74" s="6" t="inlineStr">
        <is>
          <t>Line already shipped; no correction needed</t>
        </is>
      </c>
    </row>
    <row r="75">
      <c r="A75" s="2" t="n">
        <v>45943</v>
      </c>
      <c r="B75" s="2" t="n">
        <v>45964</v>
      </c>
      <c r="C75" s="3" t="inlineStr">
        <is>
          <t>K. Russo</t>
        </is>
      </c>
      <c r="D75" s="4" t="inlineStr">
        <is>
          <t>5104876</t>
        </is>
      </c>
      <c r="E75" s="4" t="inlineStr">
        <is>
          <t>4500056622</t>
        </is>
      </c>
      <c r="F75" s="3" t="inlineStr">
        <is>
          <t>LN-4410</t>
        </is>
      </c>
      <c r="G75" s="3" t="inlineStr">
        <is>
          <t>Tan</t>
        </is>
      </c>
      <c r="H75" s="5" t="n">
        <v>24</v>
      </c>
      <c r="I75" s="3" t="inlineStr">
        <is>
          <t>Correct</t>
        </is>
      </c>
      <c r="J75" s="6" t="inlineStr"/>
    </row>
    <row r="76">
      <c r="A76" s="2" t="n">
        <v>45943</v>
      </c>
      <c r="B76" s="2" t="n">
        <v>45999</v>
      </c>
      <c r="C76" s="3" t="inlineStr">
        <is>
          <t>K. Russo</t>
        </is>
      </c>
      <c r="D76" s="4" t="inlineStr">
        <is>
          <t>5104882</t>
        </is>
      </c>
      <c r="E76" s="4" t="inlineStr">
        <is>
          <t>NW-2025-5949</t>
        </is>
      </c>
      <c r="F76" s="3" t="inlineStr">
        <is>
          <t>CV-2215</t>
        </is>
      </c>
      <c r="G76" s="3" t="inlineStr">
        <is>
          <t>Green</t>
        </is>
      </c>
      <c r="H76" s="5" t="n">
        <v>36</v>
      </c>
      <c r="I76" s="3" t="inlineStr">
        <is>
          <t>Correct</t>
        </is>
      </c>
      <c r="J76" s="6" t="inlineStr"/>
    </row>
    <row r="77">
      <c r="A77" s="2" t="n">
        <v>45943</v>
      </c>
      <c r="B77" s="2" t="n">
        <v>45971</v>
      </c>
      <c r="C77" s="3" t="inlineStr">
        <is>
          <t>K. Russo</t>
        </is>
      </c>
      <c r="D77" s="4" t="inlineStr">
        <is>
          <t>5104883</t>
        </is>
      </c>
      <c r="E77" s="4" t="inlineStr">
        <is>
          <t>NW-2025-5949</t>
        </is>
      </c>
      <c r="F77" s="3" t="inlineStr">
        <is>
          <t>TR-2280</t>
        </is>
      </c>
      <c r="G77" s="3" t="inlineStr">
        <is>
          <t>Green</t>
        </is>
      </c>
      <c r="H77" s="5" t="n">
        <v>60</v>
      </c>
      <c r="I77" s="3" t="inlineStr">
        <is>
          <t>Correct</t>
        </is>
      </c>
      <c r="J77" s="6" t="inlineStr"/>
    </row>
    <row r="78">
      <c r="A78" s="2" t="n">
        <v>45943</v>
      </c>
      <c r="B78" s="2" t="n">
        <v>45964</v>
      </c>
      <c r="C78" s="3" t="inlineStr">
        <is>
          <t>K. Russo</t>
        </is>
      </c>
      <c r="D78" s="4" t="inlineStr">
        <is>
          <t>5104904</t>
        </is>
      </c>
      <c r="E78" s="4" t="inlineStr">
        <is>
          <t>4500060030</t>
        </is>
      </c>
      <c r="F78" s="3" t="inlineStr">
        <is>
          <t>LN-1040</t>
        </is>
      </c>
      <c r="G78" s="3" t="inlineStr">
        <is>
          <t>White</t>
        </is>
      </c>
      <c r="H78" s="5" t="n">
        <v>48</v>
      </c>
      <c r="I78" s="3" t="inlineStr">
        <is>
          <t>Correct</t>
        </is>
      </c>
      <c r="J78" s="6" t="inlineStr"/>
    </row>
    <row r="79">
      <c r="A79" s="2" t="n">
        <v>45943</v>
      </c>
      <c r="B79" s="2" t="n">
        <v>45985</v>
      </c>
      <c r="C79" s="3" t="inlineStr">
        <is>
          <t>K. Russo</t>
        </is>
      </c>
      <c r="D79" s="4" t="inlineStr">
        <is>
          <t>5104906</t>
        </is>
      </c>
      <c r="E79" s="4" t="inlineStr">
        <is>
          <t>PO-95168</t>
        </is>
      </c>
      <c r="F79" s="3" t="inlineStr">
        <is>
          <t>TR-1120</t>
        </is>
      </c>
      <c r="G79" s="3" t="inlineStr">
        <is>
          <t>Navy</t>
        </is>
      </c>
      <c r="H79" s="5" t="n">
        <v>12</v>
      </c>
      <c r="I79" s="3" t="inlineStr">
        <is>
          <t>Correct</t>
        </is>
      </c>
      <c r="J79" s="6" t="inlineStr"/>
    </row>
    <row r="81">
      <c r="D81" s="7" t="inlineStr">
        <is>
          <t>Sales Orders</t>
        </is>
      </c>
      <c r="E81" s="7" t="inlineStr">
        <is>
          <t>Unique POs</t>
        </is>
      </c>
      <c r="I81" s="7" t="inlineStr">
        <is>
          <t>Left to Audit</t>
        </is>
      </c>
    </row>
    <row r="82">
      <c r="D82" s="8">
        <f>COUNTA(D2:D79)</f>
        <v>78</v>
      </c>
      <c r="E82" s="8">
        <f>COUNTA(_xlfn.UNIQUE(E2:E79))</f>
        <v>38</v>
      </c>
      <c r="I82" s="8">
        <f>COUNTBLANK(I2:I79)</f>
        <v>0</v>
      </c>
      <c r="J82" s="9" t="inlineStr">
        <is>
          <t>← "are we there yet?" (0 = done)</t>
        </is>
      </c>
    </row>
  </sheetData>
  <autoFilter ref="A1:J79"/>
  <conditionalFormatting sqref="I2:I79">
    <cfRule type="expression" priority="1" dxfId="0">
      <formula>$I2="Correct"</formula>
    </cfRule>
    <cfRule type="expression" priority="2" dxfId="1">
      <formula>$I2="Credit Hold"</formula>
    </cfRule>
    <cfRule type="expression" priority="3" dxfId="2">
      <formula>$I2="Missing PO"</formula>
    </cfRule>
    <cfRule type="expression" priority="4" dxfId="3">
      <formula>$I2="QTY"</formula>
    </cfRule>
    <cfRule type="expression" priority="5" dxfId="4">
      <formula>$I2="Shipped"</formula>
    </cfRule>
    <cfRule type="expression" priority="6" dxfId="5">
      <formula>$I2="PAST DUE"</formula>
    </cfRule>
    <cfRule type="expression" priority="7" dxfId="6">
      <formula>$I2="Color"</formula>
    </cfRule>
    <cfRule type="expression" priority="8" dxfId="7">
      <formula>$I2="Other"</formula>
    </cfRule>
  </conditionalFormatting>
  <dataValidations count="1">
    <dataValidation sqref="I2:I79" showDropDown="0" showInputMessage="0" showErrorMessage="1" allowBlank="1" errorTitle="Status" error="Pick a status from the list." type="list">
      <formula1>"Correct,Credit Hold,Missing PO,QTY,Shipped,PAST DUE,Color,Other"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1:F1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16" customWidth="1" min="3" max="3"/>
    <col width="3" customWidth="1" min="4" max="4"/>
    <col width="16" customWidth="1" min="5" max="5"/>
    <col width="12" customWidth="1" min="6" max="6"/>
    <col width="3" customWidth="1" min="7" max="7"/>
    <col width="3" customWidth="1" min="8" max="8"/>
  </cols>
  <sheetData>
    <row r="1">
      <c r="B1" s="10" t="inlineStr">
        <is>
          <t>SO / PO AUDIT DASHBOARD</t>
        </is>
      </c>
    </row>
    <row r="2">
      <c r="B2" s="11" t="str">
        <f>"Order date "&amp;TEXT('SO PO Audit'!A2,"m/d/yyyy")&amp;"  ·  Manufacturer Two  ·  synthetic data"</f>
        <v>Order date 10/13/2025  ·  Manufacturer Two  ·  synthetic data</v>
      </c>
    </row>
    <row r="4">
      <c r="B4" s="12" t="inlineStr">
        <is>
          <t>Sales Orders</t>
        </is>
      </c>
      <c r="C4" s="12" t="inlineStr">
        <is>
          <t>Unique POs</t>
        </is>
      </c>
      <c r="E4" s="12" t="inlineStr">
        <is>
          <t>Lines Flagged</t>
        </is>
      </c>
      <c r="F4" s="12" t="inlineStr">
        <is>
          <t>Correct %</t>
        </is>
      </c>
    </row>
    <row r="5" ht="32" customHeight="1">
      <c r="B5" s="13">
        <f>'SO PO Audit'!D82</f>
        <v>78</v>
      </c>
      <c r="C5" s="13">
        <f>'SO PO Audit'!E82</f>
        <v>38</v>
      </c>
      <c r="E5" s="13">
        <f>COUNTA('SO PO Audit'!$I$2:$I$79)-COUNTIF('SO PO Audit'!$I$2:$I$79,"Correct")</f>
        <v>29</v>
      </c>
      <c r="F5" s="14">
        <f>IFERROR(COUNTIF('SO PO Audit'!$I$2:$I$79,"Correct")/COUNTA('SO PO Audit'!$I$2:$I$79),0)</f>
        <v>0.6282051282051282</v>
      </c>
    </row>
    <row r="8">
      <c r="B8" t="inlineStr">
        <is>
          <t>Account Coordinator</t>
        </is>
      </c>
      <c r="C8" t="inlineStr">
        <is>
          <t>Orders Entered</t>
        </is>
      </c>
      <c r="E8" t="inlineStr">
        <is>
          <t>Status</t>
        </is>
      </c>
      <c r="F8" t="inlineStr">
        <is>
          <t>Orders</t>
        </is>
      </c>
    </row>
    <row r="9">
      <c r="B9" t="inlineStr">
        <is>
          <t>A. Morales</t>
        </is>
      </c>
      <c r="C9" t="n">
        <v>22</v>
      </c>
      <c r="E9" t="inlineStr">
        <is>
          <t>Correct</t>
        </is>
      </c>
      <c r="F9" t="n">
        <v>49</v>
      </c>
    </row>
    <row r="10">
      <c r="B10" t="inlineStr">
        <is>
          <t>B. Chen</t>
        </is>
      </c>
      <c r="C10" t="n">
        <v>17</v>
      </c>
      <c r="E10" t="inlineStr">
        <is>
          <t>Credit Hold</t>
        </is>
      </c>
      <c r="F10" t="n">
        <v>7</v>
      </c>
    </row>
    <row r="11">
      <c r="B11" t="inlineStr">
        <is>
          <t>D. Okafor</t>
        </is>
      </c>
      <c r="C11" t="n">
        <v>15</v>
      </c>
      <c r="E11" t="inlineStr">
        <is>
          <t>Missing PO</t>
        </is>
      </c>
      <c r="F11" t="n">
        <v>5</v>
      </c>
    </row>
    <row r="12">
      <c r="B12" t="inlineStr">
        <is>
          <t>J. Patel</t>
        </is>
      </c>
      <c r="C12" t="n">
        <v>14</v>
      </c>
      <c r="E12" t="inlineStr">
        <is>
          <t>QTY</t>
        </is>
      </c>
      <c r="F12" t="n">
        <v>5</v>
      </c>
    </row>
    <row r="13">
      <c r="B13" t="inlineStr">
        <is>
          <t>K. Russo</t>
        </is>
      </c>
      <c r="C13" t="n">
        <v>10</v>
      </c>
      <c r="E13" t="inlineStr">
        <is>
          <t>Shipped</t>
        </is>
      </c>
      <c r="F13" t="n">
        <v>3</v>
      </c>
    </row>
    <row r="14">
      <c r="B14" t="inlineStr">
        <is>
          <t>Grand Total</t>
        </is>
      </c>
      <c r="C14" t="n">
        <v>78</v>
      </c>
      <c r="E14" t="inlineStr">
        <is>
          <t>PAST DUE</t>
        </is>
      </c>
      <c r="F14" t="n">
        <v>4</v>
      </c>
    </row>
    <row r="15">
      <c r="E15" t="inlineStr">
        <is>
          <t>Color</t>
        </is>
      </c>
      <c r="F15" t="n">
        <v>3</v>
      </c>
    </row>
    <row r="16">
      <c r="E16" t="inlineStr">
        <is>
          <t>Other</t>
        </is>
      </c>
      <c r="F16" t="n">
        <v>2</v>
      </c>
    </row>
    <row r="17">
      <c r="E17" t="inlineStr">
        <is>
          <t>Grand Total</t>
        </is>
      </c>
      <c r="F17" t="n">
        <v>78</v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2026-09-28T18:33:15Z</dcterms:created>
  <dcterms:modified xmlns:dcterms="http://purl.org/dc/terms/" xmlns:xsi="http://www.w3.org/2001/XMLSchema-instance" xsi:type="dcterms:W3CDTF">2026-09-28T18:33:15Z</dcterms:modified>
</cp:coreProperties>
</file>