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SPH\Documents\Portfolio Documents\"/>
    </mc:Choice>
  </mc:AlternateContent>
  <xr:revisionPtr revIDLastSave="0" documentId="8_{B8E92C15-F46C-4E11-8183-82B56A170E48}" xr6:coauthVersionLast="47" xr6:coauthVersionMax="47" xr10:uidLastSave="{00000000-0000-0000-0000-000000000000}"/>
  <bookViews>
    <workbookView xWindow="-120" yWindow="-120" windowWidth="20730" windowHeight="11160" activeTab="1" xr2:uid="{FD611B41-1FCB-4A59-B935-9D4FD7DE5016}"/>
  </bookViews>
  <sheets>
    <sheet name="data" sheetId="1" r:id="rId1"/>
    <sheet name="Dashboard" sheetId="2" r:id="rId2"/>
  </sheets>
  <definedNames>
    <definedName name="Slicer_Requester">#N/A</definedName>
    <definedName name="Slicer_Ship_to_Company">#N/A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<sst xmlns="http://schemas.openxmlformats.org/spreadsheetml/2006/main" count="19" uniqueCount="19">
  <si>
    <t>Request Date</t>
  </si>
  <si>
    <t>Ship Date</t>
  </si>
  <si>
    <t>Days to Ship</t>
  </si>
  <si>
    <t>Requester</t>
  </si>
  <si>
    <t>HM</t>
  </si>
  <si>
    <t>SP</t>
  </si>
  <si>
    <t>Total</t>
  </si>
  <si>
    <t>Ship to Company</t>
  </si>
  <si>
    <t>Sum of HM</t>
  </si>
  <si>
    <t>Sum of SP</t>
  </si>
  <si>
    <t>Row Labels</t>
  </si>
  <si>
    <t>Grand Total</t>
  </si>
  <si>
    <t>Jul</t>
  </si>
  <si>
    <t>Aug</t>
  </si>
  <si>
    <t>Sep</t>
  </si>
  <si>
    <t>Oct</t>
  </si>
  <si>
    <t>HM = Hand Made, SP = Stock Pull</t>
  </si>
  <si>
    <t>AVG DAYS to SHIP</t>
  </si>
  <si>
    <t>2H2025 Sample Tracker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</si>
</sst>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theme="0"/>
      <name val="Calibri"/>
      <family val="2"/>
      <scheme val="minor"/>
    </font>
    <font>
      <b/>
      <sz val="24"/>
      <color theme="1"/>
      <name val="Arial"/>
      <family val="2"/>
    </font>
    <font>
      <sz val="24"/>
      <color theme="1"/>
      <name val="Arial"/>
      <family val="2"/>
    </font>
    <font>
      <b/>
      <sz val="18"/>
      <color theme="1"/>
      <name val="Arial"/>
      <family val="2"/>
    </font>
  </fonts>
  <fills count="3">
    <fill>
      <patternFill patternType="none"/>
    </fill>
    <fill>
      <patternFill patternType="gray125"/>
    </fill>
    <fill>
      <patternFill patternType="solid">
        <fgColor theme="4" tint="-0.249977111117893"/>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8">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2" borderId="0" xfId="0" applyFont="1" applyFill="1" applyAlignment="1">
      <alignment horizontal="center"/>
    </xf>
    <xf numFmtId="0" fontId="4" fillId="0" borderId="1"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64" fontId="3" fillId="0" borderId="4" xfId="0" applyNumberFormat="1" applyFont="1" applyBorder="1" applyAlignment="1">
      <alignment horizontal="center" vertical="center"/>
    </xf>
    <xf numFmtId="1" fontId="3" fillId="0" borderId="0" xfId="0" applyNumberFormat="1" applyFont="1" applyAlignment="1">
      <alignment horizontal="center" vertical="center"/>
    </xf>
    <xf numFmtId="1" fontId="3" fillId="0" borderId="5" xfId="0" applyNumberFormat="1" applyFont="1" applyBorder="1" applyAlignment="1">
      <alignment horizontal="center" vertical="center"/>
    </xf>
    <xf numFmtId="1" fontId="3" fillId="0" borderId="6" xfId="0" applyNumberFormat="1" applyFont="1" applyBorder="1" applyAlignment="1">
      <alignment horizontal="center" vertical="center"/>
    </xf>
    <xf numFmtId="1" fontId="3" fillId="0" borderId="7" xfId="0" applyNumberFormat="1" applyFont="1" applyBorder="1" applyAlignment="1">
      <alignment horizontal="center" vertical="center"/>
    </xf>
    <xf numFmtId="1" fontId="3" fillId="0" borderId="8" xfId="0" applyNumberFormat="1" applyFont="1" applyBorder="1" applyAlignment="1">
      <alignment horizontal="center" vertical="center"/>
    </xf>
    <xf numFmtId="0" fontId="2" fillId="0" borderId="0" xfId="0" applyFont="1" applyAlignment="1">
      <alignment horizontal="center"/>
    </xf>
  </cellXfs>
  <cellStyles count="1">
    <cellStyle name="Normal" xfId="0" builtinId="0"/>
  </cellStyles>
  <dxfs count="2">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[2H2025 Sample Tracker Data - Dashboard.xlsx]Dashboard!PivotTable1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tx1">
                    <a:lumMod val="75000"/>
                    <a:lumOff val="25000"/>
                  </a:schemeClr>
                </a:solidFill>
              </a:rPr>
              <a:t>Samples - HM vs. SP</a:t>
            </a:r>
            <a:endParaRPr lang="en-US" b="1">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Dashboard!$B$3</c:f>
              <c:strCache>
                <c:ptCount val="1"/>
                <c:pt idx="0">
                  <c:v>Sum of HM</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Dashboard!$A$4:$A$8</c:f>
              <c:strCache>
                <c:ptCount val="4"/>
                <c:pt idx="0">
                  <c:v>Jul</c:v>
                </c:pt>
                <c:pt idx="1">
                  <c:v>Aug</c:v>
                </c:pt>
                <c:pt idx="2">
                  <c:v>Sep</c:v>
                </c:pt>
                <c:pt idx="3">
                  <c:v>Oct</c:v>
                </c:pt>
              </c:strCache>
            </c:strRef>
          </c:cat>
          <c:val>
            <c:numRef>
              <c:f>Dashboard!$B$4:$B$8</c:f>
              <c:numCache>
                <c:formatCode>General</c:formatCode>
                <c:ptCount val="4"/>
                <c:pt idx="0">
                  <c:v>576</c:v>
                </c:pt>
                <c:pt idx="1">
                  <c:v>945</c:v>
                </c:pt>
                <c:pt idx="2">
                  <c:v>496</c:v>
                </c:pt>
                <c:pt idx="3">
                  <c:v>711</c:v>
                </c:pt>
              </c:numCache>
            </c:numRef>
          </c:val>
          <c:smooth val="0"/>
          <c:extLst>
            <c:ext xmlns:c16="http://schemas.microsoft.com/office/drawing/2014/chart" uri="{C3380CC4-5D6E-409C-BE32-E72D297353CC}">
              <c16:uniqueId val="{00000000-24C7-46F0-A0D0-41F49AF4A921}"/>
            </c:ext>
          </c:extLst>
        </c:ser>
        <c:ser>
          <c:idx val="1"/>
          <c:order val="1"/>
          <c:tx>
            <c:strRef>
              <c:f>Dashboard!$C$3</c:f>
              <c:strCache>
                <c:ptCount val="1"/>
                <c:pt idx="0">
                  <c:v>Sum of SP</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Dashboard!$A$4:$A$8</c:f>
              <c:strCache>
                <c:ptCount val="4"/>
                <c:pt idx="0">
                  <c:v>Jul</c:v>
                </c:pt>
                <c:pt idx="1">
                  <c:v>Aug</c:v>
                </c:pt>
                <c:pt idx="2">
                  <c:v>Sep</c:v>
                </c:pt>
                <c:pt idx="3">
                  <c:v>Oct</c:v>
                </c:pt>
              </c:strCache>
            </c:strRef>
          </c:cat>
          <c:val>
            <c:numRef>
              <c:f>Dashboard!$C$4:$C$8</c:f>
              <c:numCache>
                <c:formatCode>General</c:formatCode>
                <c:ptCount val="4"/>
                <c:pt idx="0">
                  <c:v>492</c:v>
                </c:pt>
                <c:pt idx="1">
                  <c:v>738</c:v>
                </c:pt>
                <c:pt idx="2">
                  <c:v>494</c:v>
                </c:pt>
                <c:pt idx="3">
                  <c:v>663</c:v>
                </c:pt>
              </c:numCache>
            </c:numRef>
          </c:val>
          <c:smooth val="0"/>
          <c:extLst>
            <c:ext xmlns:c16="http://schemas.microsoft.com/office/drawing/2014/chart" uri="{C3380CC4-5D6E-409C-BE32-E72D297353CC}">
              <c16:uniqueId val="{00000001-24C7-46F0-A0D0-41F49AF4A921}"/>
            </c:ext>
          </c:extLst>
        </c:ser>
        <c:dLbls>
          <c:showLegendKey val="0"/>
          <c:showVal val="0"/>
          <c:showCatName val="0"/>
          <c:showSerName val="0"/>
          <c:showPercent val="0"/>
          <c:showBubbleSize val="0"/>
        </c:dLbls>
        <c:marker val="1"/>
        <c:smooth val="0"/>
        <c:axId val="1074089936"/>
        <c:axId val="1074066416"/>
      </c:lineChart>
      <c:catAx>
        <c:axId val="107408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066416"/>
        <c:crosses val="autoZero"/>
        <c:auto val="1"/>
        <c:lblAlgn val="ctr"/>
        <c:lblOffset val="100"/>
        <c:noMultiLvlLbl val="0"/>
      </c:catAx>
      <c:valAx>
        <c:axId val="1074066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089936"/>
        <c:crosses val="autoZero"/>
        <c:crossBetween val="between"/>
        <c:majorUnit val="500"/>
      </c:valAx>
      <c:spPr>
        <a:noFill/>
        <a:ln>
          <a:solidFill>
            <a:schemeClr val="bg1">
              <a:lumMod val="75000"/>
            </a:schemeClr>
          </a:solidFill>
        </a:ln>
        <a:effectLst/>
      </c:spPr>
    </c:plotArea>
    <c:legend>
      <c:legendPos val="b"/>
      <c:overlay val="0"/>
      <c:txPr>
        <a:bodyPr/>
        <a:lstStyle/>
        <a:p>
          <a:pPr>
            <a:defRPr sz="900">
              <a:solidFill>
                <a:srgbClr val="595959"/>
              </a:solidFil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123825</xdr:colOff>
      <xdr:row>1</xdr:row>
      <xdr:rowOff>180975</xdr:rowOff>
    </xdr:from>
    <xdr:to>
      <xdr:col>8</xdr:col>
      <xdr:colOff>0</xdr:colOff>
      <xdr:row>15</xdr:row>
      <xdr:rowOff>9525</xdr:rowOff>
    </xdr:to>
    <mc:AlternateContent xmlns:mc="http://schemas.openxmlformats.org/markup-compatibility/2006" xmlns:a14="http://schemas.microsoft.com/office/drawing/2010/main">
      <mc:Choice Requires="a14">
        <xdr:graphicFrame macro="">
          <xdr:nvGraphicFramePr>
            <xdr:cNvPr id="2" name="Requester">
              <a:extLst>
                <a:ext uri="{FF2B5EF4-FFF2-40B4-BE49-F238E27FC236}">
                  <a16:creationId xmlns:a16="http://schemas.microsoft.com/office/drawing/2014/main" id="{696D5E13-7684-88F4-A1BE-0F2FC226B674}"/>
                </a:ext>
              </a:extLst>
            </xdr:cNvPr>
            <xdr:cNvGraphicFramePr/>
          </xdr:nvGraphicFramePr>
          <xdr:xfrm>
            <a:off x="0" y="0"/>
            <a:ext cx="0" cy="0"/>
          </xdr:xfrm>
          <a:graphic>
            <a:graphicData uri="http://schemas.microsoft.com/office/drawing/2010/slicer">
              <sle:slicer xmlns:sle="http://schemas.microsoft.com/office/drawing/2010/slicer" name="Requester"/>
            </a:graphicData>
          </a:graphic>
        </xdr:graphicFrame>
      </mc:Choice>
      <mc:Fallback xmlns="">
        <xdr:sp macro="" textlink="">
          <xdr:nvSpPr>
            <xdr:cNvPr id="0" name=""/>
            <xdr:cNvSpPr>
              <a:spLocks noTextEdit="1"/>
            </xdr:cNvSpPr>
          </xdr:nvSpPr>
          <xdr:spPr>
            <a:xfrm>
              <a:off x="3162300" y="561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2</xdr:row>
      <xdr:rowOff>0</xdr:rowOff>
    </xdr:from>
    <xdr:to>
      <xdr:col>12</xdr:col>
      <xdr:colOff>0</xdr:colOff>
      <xdr:row>15</xdr:row>
      <xdr:rowOff>19050</xdr:rowOff>
    </xdr:to>
    <mc:AlternateContent xmlns:mc="http://schemas.openxmlformats.org/markup-compatibility/2006" xmlns:a14="http://schemas.microsoft.com/office/drawing/2010/main">
      <mc:Choice Requires="a14">
        <xdr:graphicFrame macro="">
          <xdr:nvGraphicFramePr>
            <xdr:cNvPr id="3" name="Ship to Company">
              <a:extLst>
                <a:ext uri="{FF2B5EF4-FFF2-40B4-BE49-F238E27FC236}">
                  <a16:creationId xmlns:a16="http://schemas.microsoft.com/office/drawing/2014/main" id="{60687C86-1BE5-D730-71F5-4CF660F2039D}"/>
                </a:ext>
              </a:extLst>
            </xdr:cNvPr>
            <xdr:cNvGraphicFramePr/>
          </xdr:nvGraphicFramePr>
          <xdr:xfrm>
            <a:off x="0" y="0"/>
            <a:ext cx="0" cy="0"/>
          </xdr:xfrm>
          <a:graphic>
            <a:graphicData uri="http://schemas.microsoft.com/office/drawing/2010/slicer">
              <sle:slicer xmlns:sle="http://schemas.microsoft.com/office/drawing/2010/slicer" name="Ship to Company"/>
            </a:graphicData>
          </a:graphic>
        </xdr:graphicFrame>
      </mc:Choice>
      <mc:Fallback xmlns="">
        <xdr:sp macro="" textlink="">
          <xdr:nvSpPr>
            <xdr:cNvPr id="0" name=""/>
            <xdr:cNvSpPr>
              <a:spLocks noTextEdit="1"/>
            </xdr:cNvSpPr>
          </xdr:nvSpPr>
          <xdr:spPr>
            <a:xfrm>
              <a:off x="5133975" y="571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9524</xdr:colOff>
      <xdr:row>15</xdr:row>
      <xdr:rowOff>171449</xdr:rowOff>
    </xdr:from>
    <xdr:to>
      <xdr:col>18</xdr:col>
      <xdr:colOff>600074</xdr:colOff>
      <xdr:row>32</xdr:row>
      <xdr:rowOff>180974</xdr:rowOff>
    </xdr:to>
    <xdr:graphicFrame macro="">
      <xdr:nvGraphicFramePr>
        <xdr:cNvPr id="4" name="Chart 3">
          <a:extLst>
            <a:ext uri="{FF2B5EF4-FFF2-40B4-BE49-F238E27FC236}">
              <a16:creationId xmlns:a16="http://schemas.microsoft.com/office/drawing/2014/main" id="{C31373D4-B449-1092-C7C7-0C281F5DFB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PH" refreshedDate="45966.212986458333" createdVersion="8" refreshedVersion="8" minRefreshableVersion="3" recordCount="100" xr:uid="{29A8D68E-6B50-41B0-9E68-99B2FDBB89A0}">
  <cacheSource type="worksheet">
    <worksheetSource name="SampleData"/>
  </cacheSource>
  <cacheFields count="10">
    <cacheField name="Request Date" numFmtId="14">
      <sharedItems containsSemiMixedTypes="0" containsNonDate="0" containsDate="1" containsString="0" minDate="2025-07-02T00:00:00" maxDate="2025-10-29T00:00:00"/>
    </cacheField>
    <cacheField name="Ship Date" numFmtId="14">
      <sharedItems containsSemiMixedTypes="0" containsNonDate="0" containsDate="1" containsString="0" minDate="2025-07-05T00:00:00" maxDate="2025-11-01T00:00:00" count="37">
        <d v="2025-10-21T00:00:00"/>
        <d v="2025-10-30T00:00:00"/>
        <d v="2025-09-16T00:00:00"/>
        <d v="2025-10-28T00:00:00"/>
        <d v="2025-10-23T00:00:00"/>
        <d v="2025-09-09T00:00:00"/>
        <d v="2025-08-19T00:00:00"/>
        <d v="2025-09-22T00:00:00"/>
        <d v="2025-07-23T00:00:00"/>
        <d v="2025-09-10T00:00:00"/>
        <d v="2025-07-10T00:00:00"/>
        <d v="2025-07-05T00:00:00"/>
        <d v="2025-08-18T00:00:00"/>
        <d v="2025-07-31T00:00:00"/>
        <d v="2025-10-10T00:00:00"/>
        <d v="2025-08-22T00:00:00"/>
        <d v="2025-10-20T00:00:00"/>
        <d v="2025-10-31T00:00:00"/>
        <d v="2025-08-21T00:00:00"/>
        <d v="2025-10-22T00:00:00"/>
        <d v="2025-09-15T00:00:00"/>
        <d v="2025-07-11T00:00:00"/>
        <d v="2025-08-13T00:00:00"/>
        <d v="2025-07-09T00:00:00"/>
        <d v="2025-08-14T00:00:00"/>
        <d v="2025-08-01T00:00:00"/>
        <d v="2025-10-18T00:00:00"/>
        <d v="2025-10-29T00:00:00"/>
        <d v="2025-09-21T00:00:00"/>
        <d v="2025-07-21T00:00:00"/>
        <d v="2025-09-08T00:00:00"/>
        <d v="2025-07-08T00:00:00"/>
        <d v="2025-10-16T00:00:00"/>
        <d v="2025-09-05T00:00:00"/>
        <d v="2025-09-19T00:00:00"/>
        <d v="2025-07-17T00:00:00"/>
        <d v="2025-08-15T00:00:00"/>
      </sharedItems>
      <fieldGroup par="9"/>
    </cacheField>
    <cacheField name="Days to Ship" numFmtId="0">
      <sharedItems containsSemiMixedTypes="0" containsString="0" containsNumber="1" containsInteger="1" minValue="0" maxValue="6"/>
    </cacheField>
    <cacheField name="Requester" numFmtId="0">
      <sharedItems count="8">
        <s v="Ella Chen"/>
        <s v="Brian Cooper"/>
        <s v="Sophie Patel"/>
        <s v="Alicia Grant"/>
        <s v="Tyler Jennings"/>
        <s v="Marcus Boyd"/>
        <s v="Derrick Lawson"/>
        <s v="Chloe Ramirez"/>
      </sharedItems>
    </cacheField>
    <cacheField name="Ship to Company" numFmtId="0">
      <sharedItems count="12">
        <s v="Crescent Valley Group"/>
        <s v="Arrowline Distribution"/>
        <s v="Riverbend Products"/>
        <s v="Sagebrook Solutions"/>
        <s v="Everline Systems"/>
        <s v="BlueLeaf Packaging"/>
        <s v="NovaCore Supply Co."/>
        <s v="GoldenGate Equipment"/>
        <s v="HarborPoint Industries"/>
        <s v="Brightfield Manufacturing"/>
        <s v="Ironwood Components"/>
        <s v="Summit Ridge Logistics"/>
      </sharedItems>
    </cacheField>
    <cacheField name="HM" numFmtId="0">
      <sharedItems containsSemiMixedTypes="0" containsString="0" containsNumber="1" containsInteger="1" minValue="0" maxValue="50"/>
    </cacheField>
    <cacheField name="SP" numFmtId="0">
      <sharedItems containsSemiMixedTypes="0" containsString="0" containsNumber="1" containsInteger="1" minValue="0" maxValue="49"/>
    </cacheField>
    <cacheField name="Total" numFmtId="0">
      <sharedItems containsSemiMixedTypes="0" containsString="0" containsNumber="1" containsInteger="1" minValue="7" maxValue="93"/>
    </cacheField>
    <cacheField name="Days (Ship Date)" numFmtId="0" databaseField="0">
      <fieldGroup base="1">
        <rangePr groupBy="days" startDate="2025-07-05T00:00:00" endDate="2025-11-01T00:00:00"/>
        <groupItems count="368">
          <s v="&lt;7/5/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1/2025"/>
        </groupItems>
      </fieldGroup>
    </cacheField>
    <cacheField name="Months (Ship Date)" numFmtId="0" databaseField="0">
      <fieldGroup base="1">
        <rangePr groupBy="months" startDate="2025-07-05T00:00:00" endDate="2025-11-01T00:00:00"/>
        <groupItems count="14">
          <s v="&lt;7/5/2025"/>
          <s v="Jan"/>
          <s v="Feb"/>
          <s v="Mar"/>
          <s v="Apr"/>
          <s v="May"/>
          <s v="Jun"/>
          <s v="Jul"/>
          <s v="Aug"/>
          <s v="Sep"/>
          <s v="Oct"/>
          <s v="Nov"/>
          <s v="Dec"/>
          <s v="&gt;11/1/2025"/>
        </groupItems>
      </fieldGroup>
    </cacheField>
  </cacheFields>
  <extLst>
    <ext xmlns:x14="http://schemas.microsoft.com/office/spreadsheetml/2009/9/main" uri="{725AE2AE-9491-48be-B2B4-4EB974FC3084}">
      <x14:pivotCacheDefinition pivotCacheId="13385697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d v="2025-10-15T00:00:00"/>
    <x v="0"/>
    <n v="6"/>
    <x v="2"/>
    <x v="3"/>
    <n v="47"/>
    <n v="26"/>
    <n v="73"/>
  </r>
  <r>
    <d v="2025-10-28T00:00:00"/>
    <x v="1"/>
    <n v="2"/>
    <x v="2"/>
    <x v="0"/>
    <n v="23"/>
    <n v="47"/>
    <n v="70"/>
  </r>
  <r>
    <d v="2025-09-15T00:00:00"/>
    <x v="2"/>
    <n v="1"/>
    <x v="1"/>
    <x v="7"/>
    <n v="5"/>
    <n v="19"/>
    <n v="24"/>
  </r>
  <r>
    <d v="2025-10-23T00:00:00"/>
    <x v="3"/>
    <n v="5"/>
    <x v="4"/>
    <x v="0"/>
    <n v="29"/>
    <n v="15"/>
    <n v="44"/>
  </r>
  <r>
    <d v="2025-10-20T00:00:00"/>
    <x v="4"/>
    <n v="3"/>
    <x v="1"/>
    <x v="7"/>
    <n v="49"/>
    <n v="10"/>
    <n v="59"/>
  </r>
  <r>
    <d v="2025-09-04T00:00:00"/>
    <x v="5"/>
    <n v="5"/>
    <x v="6"/>
    <x v="1"/>
    <n v="17"/>
    <n v="37"/>
    <n v="54"/>
  </r>
  <r>
    <d v="2025-08-13T00:00:00"/>
    <x v="6"/>
    <n v="6"/>
    <x v="6"/>
    <x v="0"/>
    <n v="45"/>
    <n v="40"/>
    <n v="85"/>
  </r>
  <r>
    <d v="2025-09-19T00:00:00"/>
    <x v="7"/>
    <n v="3"/>
    <x v="6"/>
    <x v="8"/>
    <n v="27"/>
    <n v="43"/>
    <n v="70"/>
  </r>
  <r>
    <d v="2025-07-17T00:00:00"/>
    <x v="8"/>
    <n v="6"/>
    <x v="1"/>
    <x v="9"/>
    <n v="12"/>
    <n v="47"/>
    <n v="59"/>
  </r>
  <r>
    <d v="2025-09-05T00:00:00"/>
    <x v="5"/>
    <n v="4"/>
    <x v="3"/>
    <x v="10"/>
    <n v="26"/>
    <n v="47"/>
    <n v="73"/>
  </r>
  <r>
    <d v="2025-09-05T00:00:00"/>
    <x v="9"/>
    <n v="5"/>
    <x v="0"/>
    <x v="0"/>
    <n v="42"/>
    <n v="16"/>
    <n v="58"/>
  </r>
  <r>
    <d v="2025-07-08T00:00:00"/>
    <x v="10"/>
    <n v="2"/>
    <x v="4"/>
    <x v="9"/>
    <n v="3"/>
    <n v="45"/>
    <n v="48"/>
  </r>
  <r>
    <d v="2025-07-02T00:00:00"/>
    <x v="11"/>
    <n v="3"/>
    <x v="6"/>
    <x v="7"/>
    <n v="22"/>
    <n v="16"/>
    <n v="38"/>
  </r>
  <r>
    <d v="2025-08-14T00:00:00"/>
    <x v="12"/>
    <n v="4"/>
    <x v="2"/>
    <x v="5"/>
    <n v="30"/>
    <n v="24"/>
    <n v="54"/>
  </r>
  <r>
    <d v="2025-07-28T00:00:00"/>
    <x v="13"/>
    <n v="3"/>
    <x v="5"/>
    <x v="11"/>
    <n v="12"/>
    <n v="31"/>
    <n v="43"/>
  </r>
  <r>
    <d v="2025-10-07T00:00:00"/>
    <x v="14"/>
    <n v="3"/>
    <x v="7"/>
    <x v="7"/>
    <n v="45"/>
    <n v="27"/>
    <n v="72"/>
  </r>
  <r>
    <d v="2025-08-19T00:00:00"/>
    <x v="15"/>
    <n v="3"/>
    <x v="1"/>
    <x v="6"/>
    <n v="24"/>
    <n v="18"/>
    <n v="42"/>
  </r>
  <r>
    <d v="2025-10-17T00:00:00"/>
    <x v="16"/>
    <n v="3"/>
    <x v="7"/>
    <x v="3"/>
    <n v="26"/>
    <n v="16"/>
    <n v="42"/>
  </r>
  <r>
    <d v="2025-09-19T00:00:00"/>
    <x v="7"/>
    <n v="3"/>
    <x v="0"/>
    <x v="2"/>
    <n v="11"/>
    <n v="5"/>
    <n v="16"/>
  </r>
  <r>
    <d v="2025-10-27T00:00:00"/>
    <x v="17"/>
    <n v="4"/>
    <x v="0"/>
    <x v="5"/>
    <n v="32"/>
    <n v="34"/>
    <n v="66"/>
  </r>
  <r>
    <d v="2025-08-21T00:00:00"/>
    <x v="18"/>
    <n v="0"/>
    <x v="5"/>
    <x v="10"/>
    <n v="47"/>
    <n v="41"/>
    <n v="88"/>
  </r>
  <r>
    <d v="2025-10-17T00:00:00"/>
    <x v="19"/>
    <n v="5"/>
    <x v="5"/>
    <x v="10"/>
    <n v="32"/>
    <n v="28"/>
    <n v="60"/>
  </r>
  <r>
    <d v="2025-07-09T00:00:00"/>
    <x v="10"/>
    <n v="1"/>
    <x v="4"/>
    <x v="1"/>
    <n v="9"/>
    <n v="4"/>
    <n v="13"/>
  </r>
  <r>
    <d v="2025-09-15T00:00:00"/>
    <x v="20"/>
    <n v="0"/>
    <x v="4"/>
    <x v="6"/>
    <n v="44"/>
    <n v="40"/>
    <n v="84"/>
  </r>
  <r>
    <d v="2025-07-08T00:00:00"/>
    <x v="21"/>
    <n v="3"/>
    <x v="3"/>
    <x v="9"/>
    <n v="41"/>
    <n v="13"/>
    <n v="54"/>
  </r>
  <r>
    <d v="2025-08-12T00:00:00"/>
    <x v="22"/>
    <n v="1"/>
    <x v="5"/>
    <x v="11"/>
    <n v="30"/>
    <n v="40"/>
    <n v="70"/>
  </r>
  <r>
    <d v="2025-07-03T00:00:00"/>
    <x v="23"/>
    <n v="6"/>
    <x v="3"/>
    <x v="8"/>
    <n v="34"/>
    <n v="31"/>
    <n v="65"/>
  </r>
  <r>
    <d v="2025-08-11T00:00:00"/>
    <x v="24"/>
    <n v="3"/>
    <x v="2"/>
    <x v="5"/>
    <n v="0"/>
    <n v="24"/>
    <n v="24"/>
  </r>
  <r>
    <d v="2025-08-13T00:00:00"/>
    <x v="24"/>
    <n v="1"/>
    <x v="4"/>
    <x v="4"/>
    <n v="50"/>
    <n v="11"/>
    <n v="61"/>
  </r>
  <r>
    <d v="2025-07-29T00:00:00"/>
    <x v="25"/>
    <n v="3"/>
    <x v="1"/>
    <x v="4"/>
    <n v="30"/>
    <n v="15"/>
    <n v="45"/>
  </r>
  <r>
    <d v="2025-10-08T00:00:00"/>
    <x v="14"/>
    <n v="2"/>
    <x v="6"/>
    <x v="2"/>
    <n v="25"/>
    <n v="36"/>
    <n v="61"/>
  </r>
  <r>
    <d v="2025-10-15T00:00:00"/>
    <x v="26"/>
    <n v="3"/>
    <x v="4"/>
    <x v="3"/>
    <n v="35"/>
    <n v="49"/>
    <n v="84"/>
  </r>
  <r>
    <d v="2025-10-28T00:00:00"/>
    <x v="27"/>
    <n v="1"/>
    <x v="3"/>
    <x v="5"/>
    <n v="13"/>
    <n v="29"/>
    <n v="42"/>
  </r>
  <r>
    <d v="2025-09-15T00:00:00"/>
    <x v="20"/>
    <n v="0"/>
    <x v="2"/>
    <x v="3"/>
    <n v="50"/>
    <n v="43"/>
    <n v="93"/>
  </r>
  <r>
    <d v="2025-10-23T00:00:00"/>
    <x v="4"/>
    <n v="0"/>
    <x v="7"/>
    <x v="10"/>
    <n v="1"/>
    <n v="6"/>
    <n v="7"/>
  </r>
  <r>
    <d v="2025-10-20T00:00:00"/>
    <x v="4"/>
    <n v="3"/>
    <x v="1"/>
    <x v="4"/>
    <n v="13"/>
    <n v="6"/>
    <n v="19"/>
  </r>
  <r>
    <d v="2025-09-04T00:00:00"/>
    <x v="5"/>
    <n v="5"/>
    <x v="1"/>
    <x v="3"/>
    <n v="18"/>
    <n v="19"/>
    <n v="37"/>
  </r>
  <r>
    <d v="2025-08-13T00:00:00"/>
    <x v="24"/>
    <n v="1"/>
    <x v="4"/>
    <x v="10"/>
    <n v="18"/>
    <n v="18"/>
    <n v="36"/>
  </r>
  <r>
    <d v="2025-09-19T00:00:00"/>
    <x v="28"/>
    <n v="2"/>
    <x v="4"/>
    <x v="9"/>
    <n v="11"/>
    <n v="2"/>
    <n v="13"/>
  </r>
  <r>
    <d v="2025-07-17T00:00:00"/>
    <x v="29"/>
    <n v="4"/>
    <x v="6"/>
    <x v="8"/>
    <n v="38"/>
    <n v="41"/>
    <n v="79"/>
  </r>
  <r>
    <d v="2025-09-05T00:00:00"/>
    <x v="9"/>
    <n v="5"/>
    <x v="3"/>
    <x v="7"/>
    <n v="39"/>
    <n v="35"/>
    <n v="74"/>
  </r>
  <r>
    <d v="2025-09-05T00:00:00"/>
    <x v="30"/>
    <n v="3"/>
    <x v="2"/>
    <x v="0"/>
    <n v="27"/>
    <n v="4"/>
    <n v="31"/>
  </r>
  <r>
    <d v="2025-07-08T00:00:00"/>
    <x v="31"/>
    <n v="0"/>
    <x v="3"/>
    <x v="6"/>
    <n v="19"/>
    <n v="46"/>
    <n v="65"/>
  </r>
  <r>
    <d v="2025-07-02T00:00:00"/>
    <x v="11"/>
    <n v="3"/>
    <x v="0"/>
    <x v="2"/>
    <n v="32"/>
    <n v="27"/>
    <n v="59"/>
  </r>
  <r>
    <d v="2025-08-14T00:00:00"/>
    <x v="12"/>
    <n v="4"/>
    <x v="3"/>
    <x v="6"/>
    <n v="10"/>
    <n v="23"/>
    <n v="33"/>
  </r>
  <r>
    <d v="2025-07-28T00:00:00"/>
    <x v="13"/>
    <n v="3"/>
    <x v="3"/>
    <x v="4"/>
    <n v="33"/>
    <n v="26"/>
    <n v="59"/>
  </r>
  <r>
    <d v="2025-10-07T00:00:00"/>
    <x v="14"/>
    <n v="3"/>
    <x v="1"/>
    <x v="11"/>
    <n v="10"/>
    <n v="20"/>
    <n v="30"/>
  </r>
  <r>
    <d v="2025-08-19T00:00:00"/>
    <x v="15"/>
    <n v="3"/>
    <x v="1"/>
    <x v="7"/>
    <n v="30"/>
    <n v="18"/>
    <n v="48"/>
  </r>
  <r>
    <d v="2025-10-17T00:00:00"/>
    <x v="16"/>
    <n v="3"/>
    <x v="0"/>
    <x v="1"/>
    <n v="16"/>
    <n v="18"/>
    <n v="34"/>
  </r>
  <r>
    <d v="2025-09-19T00:00:00"/>
    <x v="7"/>
    <n v="3"/>
    <x v="0"/>
    <x v="3"/>
    <n v="40"/>
    <n v="0"/>
    <n v="40"/>
  </r>
  <r>
    <d v="2025-10-27T00:00:00"/>
    <x v="17"/>
    <n v="4"/>
    <x v="4"/>
    <x v="11"/>
    <n v="4"/>
    <n v="13"/>
    <n v="17"/>
  </r>
  <r>
    <d v="2025-08-21T00:00:00"/>
    <x v="18"/>
    <n v="0"/>
    <x v="4"/>
    <x v="1"/>
    <n v="23"/>
    <n v="28"/>
    <n v="51"/>
  </r>
  <r>
    <d v="2025-10-17T00:00:00"/>
    <x v="19"/>
    <n v="5"/>
    <x v="6"/>
    <x v="7"/>
    <n v="22"/>
    <n v="28"/>
    <n v="50"/>
  </r>
  <r>
    <d v="2025-07-09T00:00:00"/>
    <x v="10"/>
    <n v="1"/>
    <x v="0"/>
    <x v="1"/>
    <n v="50"/>
    <n v="2"/>
    <n v="52"/>
  </r>
  <r>
    <d v="2025-09-15T00:00:00"/>
    <x v="20"/>
    <n v="0"/>
    <x v="0"/>
    <x v="2"/>
    <n v="39"/>
    <n v="45"/>
    <n v="84"/>
  </r>
  <r>
    <d v="2025-07-08T00:00:00"/>
    <x v="21"/>
    <n v="3"/>
    <x v="7"/>
    <x v="0"/>
    <n v="36"/>
    <n v="4"/>
    <n v="40"/>
  </r>
  <r>
    <d v="2025-08-12T00:00:00"/>
    <x v="22"/>
    <n v="1"/>
    <x v="3"/>
    <x v="8"/>
    <n v="49"/>
    <n v="21"/>
    <n v="70"/>
  </r>
  <r>
    <d v="2025-07-03T00:00:00"/>
    <x v="23"/>
    <n v="6"/>
    <x v="0"/>
    <x v="9"/>
    <n v="39"/>
    <n v="26"/>
    <n v="65"/>
  </r>
  <r>
    <d v="2025-08-11T00:00:00"/>
    <x v="24"/>
    <n v="3"/>
    <x v="0"/>
    <x v="6"/>
    <n v="48"/>
    <n v="24"/>
    <n v="72"/>
  </r>
  <r>
    <d v="2025-08-13T00:00:00"/>
    <x v="24"/>
    <n v="1"/>
    <x v="0"/>
    <x v="0"/>
    <n v="18"/>
    <n v="8"/>
    <n v="26"/>
  </r>
  <r>
    <d v="2025-07-29T00:00:00"/>
    <x v="25"/>
    <n v="3"/>
    <x v="6"/>
    <x v="11"/>
    <n v="49"/>
    <n v="18"/>
    <n v="67"/>
  </r>
  <r>
    <d v="2025-10-08T00:00:00"/>
    <x v="14"/>
    <n v="2"/>
    <x v="7"/>
    <x v="3"/>
    <n v="21"/>
    <n v="4"/>
    <n v="25"/>
  </r>
  <r>
    <d v="2025-10-15T00:00:00"/>
    <x v="32"/>
    <n v="1"/>
    <x v="4"/>
    <x v="4"/>
    <n v="8"/>
    <n v="40"/>
    <n v="48"/>
  </r>
  <r>
    <d v="2025-10-28T00:00:00"/>
    <x v="27"/>
    <n v="1"/>
    <x v="0"/>
    <x v="3"/>
    <n v="39"/>
    <n v="20"/>
    <n v="59"/>
  </r>
  <r>
    <d v="2025-09-15T00:00:00"/>
    <x v="20"/>
    <n v="0"/>
    <x v="1"/>
    <x v="2"/>
    <n v="13"/>
    <n v="17"/>
    <n v="30"/>
  </r>
  <r>
    <d v="2025-10-23T00:00:00"/>
    <x v="4"/>
    <n v="0"/>
    <x v="5"/>
    <x v="0"/>
    <n v="27"/>
    <n v="24"/>
    <n v="51"/>
  </r>
  <r>
    <d v="2025-10-20T00:00:00"/>
    <x v="4"/>
    <n v="3"/>
    <x v="0"/>
    <x v="10"/>
    <n v="42"/>
    <n v="16"/>
    <n v="58"/>
  </r>
  <r>
    <d v="2025-09-04T00:00:00"/>
    <x v="33"/>
    <n v="1"/>
    <x v="4"/>
    <x v="1"/>
    <n v="0"/>
    <n v="19"/>
    <n v="19"/>
  </r>
  <r>
    <d v="2025-08-13T00:00:00"/>
    <x v="24"/>
    <n v="1"/>
    <x v="4"/>
    <x v="11"/>
    <n v="38"/>
    <n v="15"/>
    <n v="53"/>
  </r>
  <r>
    <d v="2025-09-19T00:00:00"/>
    <x v="34"/>
    <n v="0"/>
    <x v="7"/>
    <x v="2"/>
    <n v="16"/>
    <n v="5"/>
    <n v="21"/>
  </r>
  <r>
    <d v="2025-07-17T00:00:00"/>
    <x v="35"/>
    <n v="0"/>
    <x v="1"/>
    <x v="10"/>
    <n v="25"/>
    <n v="9"/>
    <n v="34"/>
  </r>
  <r>
    <d v="2025-09-05T00:00:00"/>
    <x v="30"/>
    <n v="3"/>
    <x v="4"/>
    <x v="5"/>
    <n v="6"/>
    <n v="14"/>
    <n v="20"/>
  </r>
  <r>
    <d v="2025-09-05T00:00:00"/>
    <x v="30"/>
    <n v="3"/>
    <x v="6"/>
    <x v="10"/>
    <n v="33"/>
    <n v="31"/>
    <n v="64"/>
  </r>
  <r>
    <d v="2025-07-08T00:00:00"/>
    <x v="23"/>
    <n v="1"/>
    <x v="2"/>
    <x v="3"/>
    <n v="13"/>
    <n v="31"/>
    <n v="44"/>
  </r>
  <r>
    <d v="2025-07-02T00:00:00"/>
    <x v="11"/>
    <n v="3"/>
    <x v="0"/>
    <x v="7"/>
    <n v="8"/>
    <n v="42"/>
    <n v="50"/>
  </r>
  <r>
    <d v="2025-08-14T00:00:00"/>
    <x v="12"/>
    <n v="4"/>
    <x v="5"/>
    <x v="10"/>
    <n v="30"/>
    <n v="9"/>
    <n v="39"/>
  </r>
  <r>
    <d v="2025-07-28T00:00:00"/>
    <x v="13"/>
    <n v="3"/>
    <x v="3"/>
    <x v="8"/>
    <n v="27"/>
    <n v="1"/>
    <n v="28"/>
  </r>
  <r>
    <d v="2025-10-07T00:00:00"/>
    <x v="14"/>
    <n v="3"/>
    <x v="0"/>
    <x v="11"/>
    <n v="5"/>
    <n v="41"/>
    <n v="46"/>
  </r>
  <r>
    <d v="2025-08-19T00:00:00"/>
    <x v="15"/>
    <n v="3"/>
    <x v="3"/>
    <x v="9"/>
    <n v="34"/>
    <n v="18"/>
    <n v="52"/>
  </r>
  <r>
    <d v="2025-10-17T00:00:00"/>
    <x v="16"/>
    <n v="3"/>
    <x v="1"/>
    <x v="1"/>
    <n v="34"/>
    <n v="39"/>
    <n v="73"/>
  </r>
  <r>
    <d v="2025-09-19T00:00:00"/>
    <x v="7"/>
    <n v="3"/>
    <x v="7"/>
    <x v="3"/>
    <n v="2"/>
    <n v="35"/>
    <n v="37"/>
  </r>
  <r>
    <d v="2025-10-27T00:00:00"/>
    <x v="17"/>
    <n v="4"/>
    <x v="6"/>
    <x v="5"/>
    <n v="39"/>
    <n v="19"/>
    <n v="58"/>
  </r>
  <r>
    <d v="2025-08-21T00:00:00"/>
    <x v="18"/>
    <n v="0"/>
    <x v="2"/>
    <x v="7"/>
    <n v="39"/>
    <n v="12"/>
    <n v="51"/>
  </r>
  <r>
    <d v="2025-10-17T00:00:00"/>
    <x v="19"/>
    <n v="5"/>
    <x v="2"/>
    <x v="1"/>
    <n v="31"/>
    <n v="30"/>
    <n v="61"/>
  </r>
  <r>
    <d v="2025-07-09T00:00:00"/>
    <x v="10"/>
    <n v="1"/>
    <x v="7"/>
    <x v="8"/>
    <n v="50"/>
    <n v="23"/>
    <n v="73"/>
  </r>
  <r>
    <d v="2025-09-15T00:00:00"/>
    <x v="20"/>
    <n v="0"/>
    <x v="4"/>
    <x v="4"/>
    <n v="30"/>
    <n v="18"/>
    <n v="48"/>
  </r>
  <r>
    <d v="2025-07-08T00:00:00"/>
    <x v="21"/>
    <n v="3"/>
    <x v="6"/>
    <x v="3"/>
    <n v="23"/>
    <n v="21"/>
    <n v="44"/>
  </r>
  <r>
    <d v="2025-08-12T00:00:00"/>
    <x v="22"/>
    <n v="1"/>
    <x v="1"/>
    <x v="8"/>
    <n v="33"/>
    <n v="1"/>
    <n v="34"/>
  </r>
  <r>
    <d v="2025-07-03T00:00:00"/>
    <x v="23"/>
    <n v="6"/>
    <x v="0"/>
    <x v="6"/>
    <n v="50"/>
    <n v="6"/>
    <n v="56"/>
  </r>
  <r>
    <d v="2025-08-11T00:00:00"/>
    <x v="24"/>
    <n v="3"/>
    <x v="4"/>
    <x v="11"/>
    <n v="43"/>
    <n v="49"/>
    <n v="92"/>
  </r>
  <r>
    <d v="2025-08-13T00:00:00"/>
    <x v="24"/>
    <n v="1"/>
    <x v="7"/>
    <x v="5"/>
    <n v="22"/>
    <n v="28"/>
    <n v="50"/>
  </r>
  <r>
    <d v="2025-07-29T00:00:00"/>
    <x v="25"/>
    <n v="3"/>
    <x v="7"/>
    <x v="8"/>
    <n v="23"/>
    <n v="19"/>
    <n v="42"/>
  </r>
  <r>
    <d v="2025-10-08T00:00:00"/>
    <x v="14"/>
    <n v="2"/>
    <x v="1"/>
    <x v="7"/>
    <n v="43"/>
    <n v="22"/>
    <n v="65"/>
  </r>
  <r>
    <d v="2025-08-11T00:00:00"/>
    <x v="24"/>
    <n v="3"/>
    <x v="0"/>
    <x v="9"/>
    <n v="31"/>
    <n v="42"/>
    <n v="73"/>
  </r>
  <r>
    <d v="2025-08-11T00:00:00"/>
    <x v="24"/>
    <n v="3"/>
    <x v="4"/>
    <x v="1"/>
    <n v="50"/>
    <n v="7"/>
    <n v="57"/>
  </r>
  <r>
    <d v="2025-08-12T00:00:00"/>
    <x v="24"/>
    <n v="2"/>
    <x v="4"/>
    <x v="11"/>
    <n v="12"/>
    <n v="48"/>
    <n v="60"/>
  </r>
  <r>
    <d v="2025-08-13T00:00:00"/>
    <x v="24"/>
    <n v="1"/>
    <x v="1"/>
    <x v="7"/>
    <n v="21"/>
    <n v="15"/>
    <n v="36"/>
  </r>
  <r>
    <d v="2025-08-14T00:00:00"/>
    <x v="24"/>
    <n v="0"/>
    <x v="0"/>
    <x v="3"/>
    <n v="34"/>
    <n v="11"/>
    <n v="45"/>
  </r>
  <r>
    <d v="2025-08-15T00:00:00"/>
    <x v="36"/>
    <n v="0"/>
    <x v="1"/>
    <x v="5"/>
    <n v="7"/>
    <n v="47"/>
    <n v="54"/>
  </r>
  <r>
    <d v="2025-08-15T00:00:00"/>
    <x v="36"/>
    <n v="0"/>
    <x v="7"/>
    <x v="7"/>
    <n v="27"/>
    <n v="46"/>
    <n v="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212972-8ECA-4CF8-81C4-FB03566C3A2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8" firstHeaderRow="0" firstDataRow="1" firstDataCol="1"/>
  <pivotFields count="10">
    <pivotField numFmtId="14" showAll="0"/>
    <pivotField numFmtId="14" showAll="0">
      <items count="38">
        <item x="11"/>
        <item x="31"/>
        <item x="23"/>
        <item x="10"/>
        <item x="21"/>
        <item x="35"/>
        <item x="29"/>
        <item x="8"/>
        <item x="13"/>
        <item x="25"/>
        <item x="22"/>
        <item x="24"/>
        <item x="36"/>
        <item x="12"/>
        <item x="6"/>
        <item x="18"/>
        <item x="15"/>
        <item x="33"/>
        <item x="30"/>
        <item x="5"/>
        <item x="9"/>
        <item x="20"/>
        <item x="2"/>
        <item x="34"/>
        <item x="28"/>
        <item x="7"/>
        <item x="14"/>
        <item x="32"/>
        <item x="26"/>
        <item x="16"/>
        <item x="0"/>
        <item x="19"/>
        <item x="4"/>
        <item x="3"/>
        <item x="27"/>
        <item x="1"/>
        <item x="17"/>
        <item t="default"/>
      </items>
    </pivotField>
    <pivotField showAll="0"/>
    <pivotField showAll="0">
      <items count="9">
        <item x="3"/>
        <item x="1"/>
        <item x="7"/>
        <item x="6"/>
        <item x="0"/>
        <item x="5"/>
        <item x="2"/>
        <item x="4"/>
        <item t="default"/>
      </items>
    </pivotField>
    <pivotField showAll="0">
      <items count="13">
        <item x="1"/>
        <item x="5"/>
        <item x="9"/>
        <item x="0"/>
        <item x="4"/>
        <item x="7"/>
        <item x="8"/>
        <item x="10"/>
        <item x="6"/>
        <item x="2"/>
        <item x="3"/>
        <item x="11"/>
        <item t="default"/>
      </items>
    </pivotField>
    <pivotField dataField="1"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8"/>
  </rowFields>
  <rowItems count="5">
    <i>
      <x v="7"/>
    </i>
    <i>
      <x v="8"/>
    </i>
    <i>
      <x v="9"/>
    </i>
    <i>
      <x v="10"/>
    </i>
    <i t="grand">
      <x/>
    </i>
  </rowItems>
  <colFields count="1">
    <field x="-2"/>
  </colFields>
  <colItems count="2">
    <i>
      <x/>
    </i>
    <i i="1">
      <x v="1"/>
    </i>
  </colItems>
  <dataFields count="2">
    <dataField name="Sum of HM" fld="5" baseField="0" baseItem="0"/>
    <dataField name="Sum of SP" fld="6"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ester" xr10:uid="{33E5454F-6E87-4D91-922E-876E673D7D12}" sourceName="Requester">
  <pivotTables>
    <pivotTable tabId="2" name="PivotTable1"/>
  </pivotTables>
  <data>
    <tabular pivotCacheId="1338569758">
      <items count="8">
        <i x="3" s="1"/>
        <i x="1" s="1"/>
        <i x="7" s="1"/>
        <i x="6" s="1"/>
        <i x="0" s="1"/>
        <i x="5"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to_Company" xr10:uid="{984D38AF-F216-465C-B2E4-5084762DCC3E}" sourceName="Ship to Company">
  <pivotTables>
    <pivotTable tabId="2" name="PivotTable1"/>
  </pivotTables>
  <data>
    <tabular pivotCacheId="1338569758">
      <items count="12">
        <i x="1" s="1"/>
        <i x="5" s="1"/>
        <i x="9" s="1"/>
        <i x="0" s="1"/>
        <i x="4" s="1"/>
        <i x="7" s="1"/>
        <i x="8" s="1"/>
        <i x="10" s="1"/>
        <i x="6" s="1"/>
        <i x="2" s="1"/>
        <i x="3"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quester" xr10:uid="{AC79C449-A8B7-4513-99D3-B25E5DE7854F}" cache="Slicer_Requester" caption="Requester" rowHeight="241300"/>
  <slicer name="Ship to Company" xr10:uid="{47E143D9-12F0-4694-973D-816DCF1740B2}" cache="Slicer_Ship_to_Company" caption="Ship to Compan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20DC1A-45E8-4574-B219-EC65F1F5748E}" name="SampleData" displayName="SampleData" ref="A1:H101" totalsRowShown="0">
  <autoFilter ref="A1:H101" xr:uid="{6B20DC1A-45E8-4574-B219-EC65F1F5748E}"/>
  <tableColumns count="8">
    <tableColumn id="1" xr3:uid="{5B797090-2C0E-4789-9EB2-20FD97810C78}" name="Request Date" dataDxfId="1"/>
    <tableColumn id="2" xr3:uid="{876B3BE1-3C82-498D-9980-A6D295F49C5A}" name="Ship Date" dataDxfId="0"/>
    <tableColumn id="3" xr3:uid="{2DBF912D-C2C2-4E53-8D0C-EFA54BB4CDFF}" name="Days to Ship">
      <calculatedColumnFormula>B2-A2</calculatedColumnFormula>
    </tableColumn>
    <tableColumn id="4" xr3:uid="{D81698B3-D33A-4AA1-A95E-41533DF6CC17}" name="Requester"/>
    <tableColumn id="5" xr3:uid="{7B079BA9-BB9D-4F4F-808F-C28DAB87493E}" name="Ship to Company"/>
    <tableColumn id="6" xr3:uid="{E8D57640-918F-4EF4-8115-B50E8C11EC8C}" name="HM"/>
    <tableColumn id="7" xr3:uid="{FA3342A9-F294-4048-8598-60C0FD65218B}" name="SP"/>
    <tableColumn id="8" xr3:uid="{0C19995B-CAE3-42F4-B732-454203E8BF03}" name="Total">
      <calculatedColumnFormula>SUM(F2:G2)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15E6E-07CA-4DA9-A4AE-788386D97300}">
  <dimension ref="A1:H106"/>
  <sheetViews>
    <sheetView workbookViewId="0">
      <selection activeCell="A2" sqref="A2"/>
    </sheetView>
  </sheetViews>
  <sheetFormatPr defaultRowHeight="15" x14ac:dyDescent="0.25"/>
  <cols>
    <col min="1" max="1" width="15" customWidth="1"/>
    <col min="2" max="2" width="11.5703125" customWidth="1"/>
    <col min="3" max="3" width="13.85546875" customWidth="1"/>
    <col min="4" max="5" width="20" customWidth="1"/>
    <col min="6" max="6" width="6.28515625" customWidth="1"/>
    <col min="7" max="7" width="5.28515625" customWidth="1"/>
  </cols>
  <sheetData>
    <row r="1" spans="1:8" x14ac:dyDescent="0.25">
      <c r="A1" t="s">
        <v>0</v>
      </c>
      <c r="B1" t="s">
        <v>1</v>
      </c>
      <c r="C1" t="s">
        <v>2</v>
      </c>
      <c r="D1" t="s">
        <v>3</v>
      </c>
      <c r="E1" t="s">
        <v>7</v>
      </c>
      <c r="F1" t="s">
        <v>4</v>
      </c>
      <c r="G1" t="s">
        <v>5</v>
      </c>
      <c r="H1" t="s">
        <v>6</v>
      </c>
    </row>
    <row r="2" spans="1:8" x14ac:dyDescent="0.25">
      <c r="A2" s="1">
        <v>45945</v>
      </c>
      <c r="B2" s="1">
        <v>45951</v>
      </c>
      <c r="C2">
        <f>B2-A2</f>
        <v>6</v>
      </c>
      <c r="D2" t="inlineStr">
        <is>
          <t>Sophie Patel</t>
        </is>
      </c>
      <c r="E2" t="inlineStr">
        <is>
          <t>Sagebrook Solutions</t>
        </is>
      </c>
      <c r="F2">
        <v>47</v>
      </c>
      <c r="G2">
        <v>26</v>
      </c>
      <c r="H2">
        <f ca="1">SUM(F2:G2)</f>
        <v>73</v>
      </c>
    </row>
    <row r="3" spans="1:8" x14ac:dyDescent="0.25">
      <c r="A3" s="1">
        <v>45958</v>
      </c>
      <c r="B3" s="1">
        <v>45960</v>
      </c>
      <c r="C3">
        <f t="shared" ref="C3:C66" si="0">B3-A3</f>
        <v>2</v>
      </c>
      <c r="D3" t="inlineStr">
        <is>
          <t>Sophie Patel</t>
        </is>
      </c>
      <c r="E3" t="inlineStr">
        <is>
          <t>Crescent Valley Group</t>
        </is>
      </c>
      <c r="F3">
        <v>23</v>
      </c>
      <c r="G3">
        <v>47</v>
      </c>
      <c r="H3">
        <f t="shared" ref="H3:H66" ca="1" si="2">SUM(F3:G3)</f>
        <v>70</v>
      </c>
    </row>
    <row r="4" spans="1:8" x14ac:dyDescent="0.25">
      <c r="A4" s="1">
        <v>45915</v>
      </c>
      <c r="B4" s="1">
        <v>45916</v>
      </c>
      <c r="C4">
        <f t="shared" si="0"/>
        <v>1</v>
      </c>
      <c r="D4" t="inlineStr">
        <is>
          <t>Brian Cooper</t>
        </is>
      </c>
      <c r="E4" t="inlineStr">
        <is>
          <t>GoldenGate Equipment</t>
        </is>
      </c>
      <c r="F4">
        <v>5</v>
      </c>
      <c r="G4">
        <v>19</v>
      </c>
      <c r="H4">
        <f t="shared" ca="1" si="2"/>
        <v>24</v>
      </c>
    </row>
    <row r="5" spans="1:8" x14ac:dyDescent="0.25">
      <c r="A5" s="1">
        <v>45953</v>
      </c>
      <c r="B5" s="1">
        <v>45958</v>
      </c>
      <c r="C5">
        <f t="shared" si="0"/>
        <v>5</v>
      </c>
      <c r="D5" t="inlineStr">
        <is>
          <t>Tyler Jennings</t>
        </is>
      </c>
      <c r="E5" t="inlineStr">
        <is>
          <t>Crescent Valley Group</t>
        </is>
      </c>
      <c r="F5">
        <v>29</v>
      </c>
      <c r="G5">
        <v>15</v>
      </c>
      <c r="H5">
        <f t="shared" ca="1" si="2"/>
        <v>44</v>
      </c>
    </row>
    <row r="6" spans="1:8" x14ac:dyDescent="0.25">
      <c r="A6" s="1">
        <v>45950</v>
      </c>
      <c r="B6" s="1">
        <v>45953</v>
      </c>
      <c r="C6">
        <f t="shared" si="0"/>
        <v>3</v>
      </c>
      <c r="D6" t="inlineStr">
        <is>
          <t>Brian Cooper</t>
        </is>
      </c>
      <c r="E6" t="inlineStr">
        <is>
          <t>GoldenGate Equipment</t>
        </is>
      </c>
      <c r="F6">
        <v>49</v>
      </c>
      <c r="G6">
        <v>10</v>
      </c>
      <c r="H6">
        <f t="shared" ca="1" si="2"/>
        <v>59</v>
      </c>
    </row>
    <row r="7" spans="1:8" x14ac:dyDescent="0.25">
      <c r="A7" s="1">
        <v>45904</v>
      </c>
      <c r="B7" s="1">
        <v>45909</v>
      </c>
      <c r="C7">
        <f t="shared" si="0"/>
        <v>5</v>
      </c>
      <c r="D7" t="inlineStr">
        <is>
          <t>Derrick Lawson</t>
        </is>
      </c>
      <c r="E7" t="inlineStr">
        <is>
          <t>Arrowline Distribution</t>
        </is>
      </c>
      <c r="F7">
        <v>17</v>
      </c>
      <c r="G7">
        <v>37</v>
      </c>
      <c r="H7">
        <f t="shared" ca="1" si="2"/>
        <v>54</v>
      </c>
    </row>
    <row r="8" spans="1:8" x14ac:dyDescent="0.25">
      <c r="A8" s="1">
        <v>45882</v>
      </c>
      <c r="B8" s="1">
        <v>45888</v>
      </c>
      <c r="C8">
        <f t="shared" si="0"/>
        <v>6</v>
      </c>
      <c r="D8" t="inlineStr">
        <is>
          <t>Derrick Lawson</t>
        </is>
      </c>
      <c r="E8" t="inlineStr">
        <is>
          <t>Crescent Valley Group</t>
        </is>
      </c>
      <c r="F8">
        <v>45</v>
      </c>
      <c r="G8">
        <v>40</v>
      </c>
      <c r="H8">
        <f t="shared" ca="1" si="2"/>
        <v>85</v>
      </c>
    </row>
    <row r="9" spans="1:8" x14ac:dyDescent="0.25">
      <c r="A9" s="1">
        <v>45919</v>
      </c>
      <c r="B9" s="1">
        <v>45922</v>
      </c>
      <c r="C9">
        <f t="shared" si="0"/>
        <v>3</v>
      </c>
      <c r="D9" t="inlineStr">
        <is>
          <t>Derrick Lawson</t>
        </is>
      </c>
      <c r="E9" t="inlineStr">
        <is>
          <t>HarborPoint Industries</t>
        </is>
      </c>
      <c r="F9">
        <v>27</v>
      </c>
      <c r="G9">
        <v>43</v>
      </c>
      <c r="H9">
        <f t="shared" ca="1" si="2"/>
        <v>70</v>
      </c>
    </row>
    <row r="10" spans="1:8" x14ac:dyDescent="0.25">
      <c r="A10" s="1">
        <v>45855</v>
      </c>
      <c r="B10" s="1">
        <v>45861</v>
      </c>
      <c r="C10">
        <f t="shared" si="0"/>
        <v>6</v>
      </c>
      <c r="D10" t="inlineStr">
        <is>
          <t>Brian Cooper</t>
        </is>
      </c>
      <c r="E10" t="inlineStr">
        <is>
          <t>Brightfield Manufacturing</t>
        </is>
      </c>
      <c r="F10">
        <v>12</v>
      </c>
      <c r="G10">
        <v>47</v>
      </c>
      <c r="H10">
        <f t="shared" ca="1" si="2"/>
        <v>59</v>
      </c>
    </row>
    <row r="11" spans="1:8" x14ac:dyDescent="0.25">
      <c r="A11" s="1">
        <v>45905</v>
      </c>
      <c r="B11" s="1">
        <v>45909</v>
      </c>
      <c r="C11">
        <f t="shared" si="0"/>
        <v>4</v>
      </c>
      <c r="D11" t="inlineStr">
        <is>
          <t>Alicia Grant</t>
        </is>
      </c>
      <c r="E11" t="inlineStr">
        <is>
          <t>Ironwood Components</t>
        </is>
      </c>
      <c r="F11">
        <v>26</v>
      </c>
      <c r="G11">
        <v>47</v>
      </c>
      <c r="H11">
        <f t="shared" ca="1" si="2"/>
        <v>73</v>
      </c>
    </row>
    <row r="12" spans="1:8" x14ac:dyDescent="0.25">
      <c r="A12" s="1">
        <v>45905</v>
      </c>
      <c r="B12" s="1">
        <v>45910</v>
      </c>
      <c r="C12">
        <f t="shared" si="0"/>
        <v>5</v>
      </c>
      <c r="D12" t="inlineStr">
        <is>
          <t>Ella Chen</t>
        </is>
      </c>
      <c r="E12" t="inlineStr">
        <is>
          <t>Crescent Valley Group</t>
        </is>
      </c>
      <c r="F12">
        <v>42</v>
      </c>
      <c r="G12">
        <v>16</v>
      </c>
      <c r="H12">
        <f t="shared" ca="1" si="2"/>
        <v>58</v>
      </c>
    </row>
    <row r="13" spans="1:8" x14ac:dyDescent="0.25">
      <c r="A13" s="1">
        <v>45846</v>
      </c>
      <c r="B13" s="1">
        <v>45848</v>
      </c>
      <c r="C13">
        <f t="shared" si="0"/>
        <v>2</v>
      </c>
      <c r="D13" t="inlineStr">
        <is>
          <t>Tyler Jennings</t>
        </is>
      </c>
      <c r="E13" t="inlineStr">
        <is>
          <t>Brightfield Manufacturing</t>
        </is>
      </c>
      <c r="F13">
        <v>3</v>
      </c>
      <c r="G13">
        <v>45</v>
      </c>
      <c r="H13">
        <f t="shared" ca="1" si="2"/>
        <v>48</v>
      </c>
    </row>
    <row r="14" spans="1:8" x14ac:dyDescent="0.25">
      <c r="A14" s="1">
        <v>45840</v>
      </c>
      <c r="B14" s="1">
        <v>45843</v>
      </c>
      <c r="C14">
        <f t="shared" si="0"/>
        <v>3</v>
      </c>
      <c r="D14" t="inlineStr">
        <is>
          <t>Derrick Lawson</t>
        </is>
      </c>
      <c r="E14" t="inlineStr">
        <is>
          <t>GoldenGate Equipment</t>
        </is>
      </c>
      <c r="F14">
        <v>22</v>
      </c>
      <c r="G14">
        <v>16</v>
      </c>
      <c r="H14">
        <f t="shared" ca="1" si="2"/>
        <v>38</v>
      </c>
    </row>
    <row r="15" spans="1:8" x14ac:dyDescent="0.25">
      <c r="A15" s="1">
        <v>45883</v>
      </c>
      <c r="B15" s="1">
        <v>45887</v>
      </c>
      <c r="C15">
        <f t="shared" si="0"/>
        <v>4</v>
      </c>
      <c r="D15" t="inlineStr">
        <is>
          <t>Sophie Patel</t>
        </is>
      </c>
      <c r="E15" t="inlineStr">
        <is>
          <t>BlueLeaf Packaging</t>
        </is>
      </c>
      <c r="F15">
        <v>30</v>
      </c>
      <c r="G15">
        <v>24</v>
      </c>
      <c r="H15">
        <f t="shared" ca="1" si="2"/>
        <v>54</v>
      </c>
    </row>
    <row r="16" spans="1:8" x14ac:dyDescent="0.25">
      <c r="A16" s="1">
        <v>45866</v>
      </c>
      <c r="B16" s="1">
        <v>45869</v>
      </c>
      <c r="C16">
        <f t="shared" si="0"/>
        <v>3</v>
      </c>
      <c r="D16" t="inlineStr">
        <is>
          <t>Marcus Boyd</t>
        </is>
      </c>
      <c r="E16" t="inlineStr">
        <is>
          <t>Summit Ridge Logistics</t>
        </is>
      </c>
      <c r="F16">
        <v>12</v>
      </c>
      <c r="G16">
        <v>31</v>
      </c>
      <c r="H16">
        <f t="shared" ca="1" si="2"/>
        <v>43</v>
      </c>
    </row>
    <row r="17" spans="1:8" x14ac:dyDescent="0.25">
      <c r="A17" s="1">
        <v>45937</v>
      </c>
      <c r="B17" s="1">
        <v>45940</v>
      </c>
      <c r="C17">
        <f t="shared" si="0"/>
        <v>3</v>
      </c>
      <c r="D17" t="inlineStr">
        <is>
          <t>Chloe Ramirez</t>
        </is>
      </c>
      <c r="E17" t="inlineStr">
        <is>
          <t>GoldenGate Equipment</t>
        </is>
      </c>
      <c r="F17">
        <v>45</v>
      </c>
      <c r="G17">
        <v>27</v>
      </c>
      <c r="H17">
        <f t="shared" ca="1" si="2"/>
        <v>72</v>
      </c>
    </row>
    <row r="18" spans="1:8" x14ac:dyDescent="0.25">
      <c r="A18" s="1">
        <v>45888</v>
      </c>
      <c r="B18" s="1">
        <v>45891</v>
      </c>
      <c r="C18">
        <f t="shared" si="0"/>
        <v>3</v>
      </c>
      <c r="D18" t="inlineStr">
        <is>
          <t>Brian Cooper</t>
        </is>
      </c>
      <c r="E18" t="inlineStr">
        <is>
          <t>NovaCore Supply Co.</t>
        </is>
      </c>
      <c r="F18">
        <v>24</v>
      </c>
      <c r="G18">
        <v>18</v>
      </c>
      <c r="H18">
        <f t="shared" ca="1" si="2"/>
        <v>42</v>
      </c>
    </row>
    <row r="19" spans="1:8" x14ac:dyDescent="0.25">
      <c r="A19" s="1">
        <v>45947</v>
      </c>
      <c r="B19" s="1">
        <v>45950</v>
      </c>
      <c r="C19">
        <f t="shared" si="0"/>
        <v>3</v>
      </c>
      <c r="D19" t="inlineStr">
        <is>
          <t>Chloe Ramirez</t>
        </is>
      </c>
      <c r="E19" t="inlineStr">
        <is>
          <t>Sagebrook Solutions</t>
        </is>
      </c>
      <c r="F19">
        <v>26</v>
      </c>
      <c r="G19">
        <v>16</v>
      </c>
      <c r="H19">
        <f t="shared" ca="1" si="2"/>
        <v>42</v>
      </c>
    </row>
    <row r="20" spans="1:8" x14ac:dyDescent="0.25">
      <c r="A20" s="1">
        <v>45919</v>
      </c>
      <c r="B20" s="1">
        <v>45922</v>
      </c>
      <c r="C20">
        <f t="shared" si="0"/>
        <v>3</v>
      </c>
      <c r="D20" t="inlineStr">
        <is>
          <t>Ella Chen</t>
        </is>
      </c>
      <c r="E20" t="inlineStr">
        <is>
          <t>Riverbend Products</t>
        </is>
      </c>
      <c r="F20">
        <v>11</v>
      </c>
      <c r="G20">
        <v>5</v>
      </c>
      <c r="H20">
        <f t="shared" ca="1" si="2"/>
        <v>16</v>
      </c>
    </row>
    <row r="21" spans="1:8" x14ac:dyDescent="0.25">
      <c r="A21" s="1">
        <v>45957</v>
      </c>
      <c r="B21" s="1">
        <v>45961</v>
      </c>
      <c r="C21">
        <f t="shared" si="0"/>
        <v>4</v>
      </c>
      <c r="D21" t="inlineStr">
        <is>
          <t>Ella Chen</t>
        </is>
      </c>
      <c r="E21" t="inlineStr">
        <is>
          <t>BlueLeaf Packaging</t>
        </is>
      </c>
      <c r="F21">
        <v>32</v>
      </c>
      <c r="G21">
        <v>34</v>
      </c>
      <c r="H21">
        <f t="shared" ca="1" si="2"/>
        <v>66</v>
      </c>
    </row>
    <row r="22" spans="1:8" x14ac:dyDescent="0.25">
      <c r="A22" s="1">
        <v>45890</v>
      </c>
      <c r="B22" s="1">
        <v>45890</v>
      </c>
      <c r="C22">
        <f t="shared" si="0"/>
        <v>0</v>
      </c>
      <c r="D22" t="inlineStr">
        <is>
          <t>Marcus Boyd</t>
        </is>
      </c>
      <c r="E22" t="inlineStr">
        <is>
          <t>Ironwood Components</t>
        </is>
      </c>
      <c r="F22">
        <v>47</v>
      </c>
      <c r="G22">
        <v>41</v>
      </c>
      <c r="H22">
        <f t="shared" ca="1" si="2"/>
        <v>88</v>
      </c>
    </row>
    <row r="23" spans="1:8" x14ac:dyDescent="0.25">
      <c r="A23" s="1">
        <v>45947</v>
      </c>
      <c r="B23" s="1">
        <v>45952</v>
      </c>
      <c r="C23">
        <f t="shared" si="0"/>
        <v>5</v>
      </c>
      <c r="D23" t="inlineStr">
        <is>
          <t>Marcus Boyd</t>
        </is>
      </c>
      <c r="E23" t="inlineStr">
        <is>
          <t>Ironwood Components</t>
        </is>
      </c>
      <c r="F23">
        <v>32</v>
      </c>
      <c r="G23">
        <v>28</v>
      </c>
      <c r="H23">
        <f t="shared" ca="1" si="2"/>
        <v>60</v>
      </c>
    </row>
    <row r="24" spans="1:8" x14ac:dyDescent="0.25">
      <c r="A24" s="1">
        <v>45847</v>
      </c>
      <c r="B24" s="1">
        <v>45848</v>
      </c>
      <c r="C24">
        <f t="shared" si="0"/>
        <v>1</v>
      </c>
      <c r="D24" t="inlineStr">
        <is>
          <t>Tyler Jennings</t>
        </is>
      </c>
      <c r="E24" t="inlineStr">
        <is>
          <t>Arrowline Distribution</t>
        </is>
      </c>
      <c r="F24">
        <v>9</v>
      </c>
      <c r="G24">
        <v>4</v>
      </c>
      <c r="H24">
        <f t="shared" ca="1" si="2"/>
        <v>13</v>
      </c>
    </row>
    <row r="25" spans="1:8" x14ac:dyDescent="0.25">
      <c r="A25" s="1">
        <v>45915</v>
      </c>
      <c r="B25" s="1">
        <v>45915</v>
      </c>
      <c r="C25">
        <f t="shared" si="0"/>
        <v>0</v>
      </c>
      <c r="D25" t="inlineStr">
        <is>
          <t>Tyler Jennings</t>
        </is>
      </c>
      <c r="E25" t="inlineStr">
        <is>
          <t>NovaCore Supply Co.</t>
        </is>
      </c>
      <c r="F25">
        <v>44</v>
      </c>
      <c r="G25">
        <v>40</v>
      </c>
      <c r="H25">
        <f t="shared" ca="1" si="2"/>
        <v>84</v>
      </c>
    </row>
    <row r="26" spans="1:8" x14ac:dyDescent="0.25">
      <c r="A26" s="1">
        <v>45846</v>
      </c>
      <c r="B26" s="1">
        <v>45849</v>
      </c>
      <c r="C26">
        <f t="shared" si="0"/>
        <v>3</v>
      </c>
      <c r="D26" t="inlineStr">
        <is>
          <t>Alicia Grant</t>
        </is>
      </c>
      <c r="E26" t="inlineStr">
        <is>
          <t>Brightfield Manufacturing</t>
        </is>
      </c>
      <c r="F26">
        <v>41</v>
      </c>
      <c r="G26">
        <v>13</v>
      </c>
      <c r="H26">
        <f t="shared" ca="1" si="2"/>
        <v>54</v>
      </c>
    </row>
    <row r="27" spans="1:8" x14ac:dyDescent="0.25">
      <c r="A27" s="1">
        <v>45881</v>
      </c>
      <c r="B27" s="1">
        <v>45882</v>
      </c>
      <c r="C27">
        <f t="shared" si="0"/>
        <v>1</v>
      </c>
      <c r="D27" t="inlineStr">
        <is>
          <t>Marcus Boyd</t>
        </is>
      </c>
      <c r="E27" t="inlineStr">
        <is>
          <t>Summit Ridge Logistics</t>
        </is>
      </c>
      <c r="F27">
        <v>30</v>
      </c>
      <c r="G27">
        <v>40</v>
      </c>
      <c r="H27">
        <f t="shared" ca="1" si="2"/>
        <v>70</v>
      </c>
    </row>
    <row r="28" spans="1:8" x14ac:dyDescent="0.25">
      <c r="A28" s="1">
        <v>45841</v>
      </c>
      <c r="B28" s="1">
        <v>45847</v>
      </c>
      <c r="C28">
        <f t="shared" si="0"/>
        <v>6</v>
      </c>
      <c r="D28" t="inlineStr">
        <is>
          <t>Alicia Grant</t>
        </is>
      </c>
      <c r="E28" t="inlineStr">
        <is>
          <t>HarborPoint Industries</t>
        </is>
      </c>
      <c r="F28">
        <v>34</v>
      </c>
      <c r="G28">
        <v>31</v>
      </c>
      <c r="H28">
        <f t="shared" ca="1" si="2"/>
        <v>65</v>
      </c>
    </row>
    <row r="29" spans="1:8" x14ac:dyDescent="0.25">
      <c r="A29" s="1">
        <v>45880</v>
      </c>
      <c r="B29" s="1">
        <v>45883</v>
      </c>
      <c r="C29">
        <f t="shared" si="0"/>
        <v>3</v>
      </c>
      <c r="D29" t="inlineStr">
        <is>
          <t>Sophie Patel</t>
        </is>
      </c>
      <c r="E29" t="inlineStr">
        <is>
          <t>BlueLeaf Packaging</t>
        </is>
      </c>
      <c r="F29">
        <v>0</v>
      </c>
      <c r="G29">
        <v>24</v>
      </c>
      <c r="H29">
        <f t="shared" ca="1" si="2"/>
        <v>24</v>
      </c>
    </row>
    <row r="30" spans="1:8" x14ac:dyDescent="0.25">
      <c r="A30" s="1">
        <v>45882</v>
      </c>
      <c r="B30" s="1">
        <v>45883</v>
      </c>
      <c r="C30">
        <f t="shared" si="0"/>
        <v>1</v>
      </c>
      <c r="D30" t="inlineStr">
        <is>
          <t>Tyler Jennings</t>
        </is>
      </c>
      <c r="E30" t="inlineStr">
        <is>
          <t>Everline Systems</t>
        </is>
      </c>
      <c r="F30">
        <v>50</v>
      </c>
      <c r="G30">
        <v>11</v>
      </c>
      <c r="H30">
        <f t="shared" ca="1" si="2"/>
        <v>61</v>
      </c>
    </row>
    <row r="31" spans="1:8" x14ac:dyDescent="0.25">
      <c r="A31" s="1">
        <v>45867</v>
      </c>
      <c r="B31" s="1">
        <v>45870</v>
      </c>
      <c r="C31">
        <f t="shared" si="0"/>
        <v>3</v>
      </c>
      <c r="D31" t="inlineStr">
        <is>
          <t>Brian Cooper</t>
        </is>
      </c>
      <c r="E31" t="inlineStr">
        <is>
          <t>Everline Systems</t>
        </is>
      </c>
      <c r="F31">
        <v>30</v>
      </c>
      <c r="G31">
        <v>15</v>
      </c>
      <c r="H31">
        <f t="shared" ca="1" si="2"/>
        <v>45</v>
      </c>
    </row>
    <row r="32" spans="1:8" x14ac:dyDescent="0.25">
      <c r="A32" s="1">
        <v>45938</v>
      </c>
      <c r="B32" s="1">
        <v>45940</v>
      </c>
      <c r="C32">
        <f t="shared" si="0"/>
        <v>2</v>
      </c>
      <c r="D32" t="inlineStr">
        <is>
          <t>Derrick Lawson</t>
        </is>
      </c>
      <c r="E32" t="inlineStr">
        <is>
          <t>Riverbend Products</t>
        </is>
      </c>
      <c r="F32">
        <v>25</v>
      </c>
      <c r="G32">
        <v>36</v>
      </c>
      <c r="H32">
        <f t="shared" ca="1" si="2"/>
        <v>61</v>
      </c>
    </row>
    <row r="33" spans="1:8" x14ac:dyDescent="0.25">
      <c r="A33" s="1">
        <v>45945</v>
      </c>
      <c r="B33" s="1">
        <v>45948</v>
      </c>
      <c r="C33">
        <f t="shared" si="0"/>
        <v>3</v>
      </c>
      <c r="D33" t="inlineStr">
        <is>
          <t>Tyler Jennings</t>
        </is>
      </c>
      <c r="E33" t="inlineStr">
        <is>
          <t>Sagebrook Solutions</t>
        </is>
      </c>
      <c r="F33">
        <v>35</v>
      </c>
      <c r="G33">
        <v>49</v>
      </c>
      <c r="H33">
        <f t="shared" ca="1" si="2"/>
        <v>84</v>
      </c>
    </row>
    <row r="34" spans="1:8" x14ac:dyDescent="0.25">
      <c r="A34" s="1">
        <v>45958</v>
      </c>
      <c r="B34" s="1">
        <v>45959</v>
      </c>
      <c r="C34">
        <f t="shared" si="0"/>
        <v>1</v>
      </c>
      <c r="D34" t="inlineStr">
        <is>
          <t>Alicia Grant</t>
        </is>
      </c>
      <c r="E34" t="inlineStr">
        <is>
          <t>BlueLeaf Packaging</t>
        </is>
      </c>
      <c r="F34">
        <v>13</v>
      </c>
      <c r="G34">
        <v>29</v>
      </c>
      <c r="H34">
        <f t="shared" ca="1" si="2"/>
        <v>42</v>
      </c>
    </row>
    <row r="35" spans="1:8" x14ac:dyDescent="0.25">
      <c r="A35" s="1">
        <v>45915</v>
      </c>
      <c r="B35" s="1">
        <v>45915</v>
      </c>
      <c r="C35">
        <f t="shared" si="0"/>
        <v>0</v>
      </c>
      <c r="D35" t="inlineStr">
        <is>
          <t>Sophie Patel</t>
        </is>
      </c>
      <c r="E35" t="inlineStr">
        <is>
          <t>Sagebrook Solutions</t>
        </is>
      </c>
      <c r="F35">
        <v>50</v>
      </c>
      <c r="G35">
        <v>43</v>
      </c>
      <c r="H35">
        <f t="shared" ca="1" si="2"/>
        <v>93</v>
      </c>
    </row>
    <row r="36" spans="1:8" x14ac:dyDescent="0.25">
      <c r="A36" s="1">
        <v>45953</v>
      </c>
      <c r="B36" s="1">
        <v>45953</v>
      </c>
      <c r="C36">
        <f t="shared" si="0"/>
        <v>0</v>
      </c>
      <c r="D36" t="inlineStr">
        <is>
          <t>Chloe Ramirez</t>
        </is>
      </c>
      <c r="E36" t="inlineStr">
        <is>
          <t>Ironwood Components</t>
        </is>
      </c>
      <c r="F36">
        <v>1</v>
      </c>
      <c r="G36">
        <v>6</v>
      </c>
      <c r="H36">
        <f t="shared" ca="1" si="2"/>
        <v>7</v>
      </c>
    </row>
    <row r="37" spans="1:8" x14ac:dyDescent="0.25">
      <c r="A37" s="1">
        <v>45950</v>
      </c>
      <c r="B37" s="1">
        <v>45953</v>
      </c>
      <c r="C37">
        <f t="shared" si="0"/>
        <v>3</v>
      </c>
      <c r="D37" t="inlineStr">
        <is>
          <t>Brian Cooper</t>
        </is>
      </c>
      <c r="E37" t="inlineStr">
        <is>
          <t>Everline Systems</t>
        </is>
      </c>
      <c r="F37">
        <v>13</v>
      </c>
      <c r="G37">
        <v>6</v>
      </c>
      <c r="H37">
        <f t="shared" ca="1" si="2"/>
        <v>19</v>
      </c>
    </row>
    <row r="38" spans="1:8" x14ac:dyDescent="0.25">
      <c r="A38" s="1">
        <v>45904</v>
      </c>
      <c r="B38" s="1">
        <v>45909</v>
      </c>
      <c r="C38">
        <f t="shared" si="0"/>
        <v>5</v>
      </c>
      <c r="D38" t="inlineStr">
        <is>
          <t>Brian Cooper</t>
        </is>
      </c>
      <c r="E38" t="inlineStr">
        <is>
          <t>Sagebrook Solutions</t>
        </is>
      </c>
      <c r="F38">
        <v>18</v>
      </c>
      <c r="G38">
        <v>19</v>
      </c>
      <c r="H38">
        <f t="shared" ca="1" si="2"/>
        <v>37</v>
      </c>
    </row>
    <row r="39" spans="1:8" x14ac:dyDescent="0.25">
      <c r="A39" s="1">
        <v>45882</v>
      </c>
      <c r="B39" s="1">
        <v>45883</v>
      </c>
      <c r="C39">
        <f t="shared" si="0"/>
        <v>1</v>
      </c>
      <c r="D39" t="inlineStr">
        <is>
          <t>Tyler Jennings</t>
        </is>
      </c>
      <c r="E39" t="inlineStr">
        <is>
          <t>Ironwood Components</t>
        </is>
      </c>
      <c r="F39">
        <v>18</v>
      </c>
      <c r="G39">
        <v>18</v>
      </c>
      <c r="H39">
        <f t="shared" ca="1" si="2"/>
        <v>36</v>
      </c>
    </row>
    <row r="40" spans="1:8" x14ac:dyDescent="0.25">
      <c r="A40" s="1">
        <v>45919</v>
      </c>
      <c r="B40" s="1">
        <v>45921</v>
      </c>
      <c r="C40">
        <f t="shared" si="0"/>
        <v>2</v>
      </c>
      <c r="D40" t="inlineStr">
        <is>
          <t>Tyler Jennings</t>
        </is>
      </c>
      <c r="E40" t="inlineStr">
        <is>
          <t>Brightfield Manufacturing</t>
        </is>
      </c>
      <c r="F40">
        <v>11</v>
      </c>
      <c r="G40">
        <v>2</v>
      </c>
      <c r="H40">
        <f t="shared" ca="1" si="2"/>
        <v>13</v>
      </c>
    </row>
    <row r="41" spans="1:8" x14ac:dyDescent="0.25">
      <c r="A41" s="1">
        <v>45855</v>
      </c>
      <c r="B41" s="1">
        <v>45859</v>
      </c>
      <c r="C41">
        <f t="shared" si="0"/>
        <v>4</v>
      </c>
      <c r="D41" t="inlineStr">
        <is>
          <t>Derrick Lawson</t>
        </is>
      </c>
      <c r="E41" t="inlineStr">
        <is>
          <t>HarborPoint Industries</t>
        </is>
      </c>
      <c r="F41">
        <v>38</v>
      </c>
      <c r="G41">
        <v>41</v>
      </c>
      <c r="H41">
        <f t="shared" ca="1" si="2"/>
        <v>79</v>
      </c>
    </row>
    <row r="42" spans="1:8" x14ac:dyDescent="0.25">
      <c r="A42" s="1">
        <v>45905</v>
      </c>
      <c r="B42" s="1">
        <v>45910</v>
      </c>
      <c r="C42">
        <f t="shared" si="0"/>
        <v>5</v>
      </c>
      <c r="D42" t="inlineStr">
        <is>
          <t>Alicia Grant</t>
        </is>
      </c>
      <c r="E42" t="inlineStr">
        <is>
          <t>GoldenGate Equipment</t>
        </is>
      </c>
      <c r="F42">
        <v>39</v>
      </c>
      <c r="G42">
        <v>35</v>
      </c>
      <c r="H42">
        <f t="shared" ca="1" si="2"/>
        <v>74</v>
      </c>
    </row>
    <row r="43" spans="1:8" x14ac:dyDescent="0.25">
      <c r="A43" s="1">
        <v>45905</v>
      </c>
      <c r="B43" s="1">
        <v>45908</v>
      </c>
      <c r="C43">
        <f t="shared" si="0"/>
        <v>3</v>
      </c>
      <c r="D43" t="inlineStr">
        <is>
          <t>Sophie Patel</t>
        </is>
      </c>
      <c r="E43" t="inlineStr">
        <is>
          <t>Crescent Valley Group</t>
        </is>
      </c>
      <c r="F43">
        <v>27</v>
      </c>
      <c r="G43">
        <v>4</v>
      </c>
      <c r="H43">
        <f t="shared" ca="1" si="2"/>
        <v>31</v>
      </c>
    </row>
    <row r="44" spans="1:8" x14ac:dyDescent="0.25">
      <c r="A44" s="1">
        <v>45846</v>
      </c>
      <c r="B44" s="1">
        <v>45846</v>
      </c>
      <c r="C44">
        <f t="shared" si="0"/>
        <v>0</v>
      </c>
      <c r="D44" t="inlineStr">
        <is>
          <t>Alicia Grant</t>
        </is>
      </c>
      <c r="E44" t="inlineStr">
        <is>
          <t>NovaCore Supply Co.</t>
        </is>
      </c>
      <c r="F44">
        <v>19</v>
      </c>
      <c r="G44">
        <v>46</v>
      </c>
      <c r="H44">
        <f t="shared" ca="1" si="2"/>
        <v>65</v>
      </c>
    </row>
    <row r="45" spans="1:8" x14ac:dyDescent="0.25">
      <c r="A45" s="1">
        <v>45840</v>
      </c>
      <c r="B45" s="1">
        <v>45843</v>
      </c>
      <c r="C45">
        <f t="shared" si="0"/>
        <v>3</v>
      </c>
      <c r="D45" t="inlineStr">
        <is>
          <t>Ella Chen</t>
        </is>
      </c>
      <c r="E45" t="inlineStr">
        <is>
          <t>Riverbend Products</t>
        </is>
      </c>
      <c r="F45">
        <v>32</v>
      </c>
      <c r="G45">
        <v>27</v>
      </c>
      <c r="H45">
        <f t="shared" ca="1" si="2"/>
        <v>59</v>
      </c>
    </row>
    <row r="46" spans="1:8" x14ac:dyDescent="0.25">
      <c r="A46" s="1">
        <v>45883</v>
      </c>
      <c r="B46" s="1">
        <v>45887</v>
      </c>
      <c r="C46">
        <f t="shared" si="0"/>
        <v>4</v>
      </c>
      <c r="D46" t="inlineStr">
        <is>
          <t>Alicia Grant</t>
        </is>
      </c>
      <c r="E46" t="inlineStr">
        <is>
          <t>NovaCore Supply Co.</t>
        </is>
      </c>
      <c r="F46">
        <v>10</v>
      </c>
      <c r="G46">
        <v>23</v>
      </c>
      <c r="H46">
        <f t="shared" ca="1" si="2"/>
        <v>33</v>
      </c>
    </row>
    <row r="47" spans="1:8" x14ac:dyDescent="0.25">
      <c r="A47" s="1">
        <v>45866</v>
      </c>
      <c r="B47" s="1">
        <v>45869</v>
      </c>
      <c r="C47">
        <f t="shared" si="0"/>
        <v>3</v>
      </c>
      <c r="D47" t="inlineStr">
        <is>
          <t>Alicia Grant</t>
        </is>
      </c>
      <c r="E47" t="inlineStr">
        <is>
          <t>Everline Systems</t>
        </is>
      </c>
      <c r="F47">
        <v>33</v>
      </c>
      <c r="G47">
        <v>26</v>
      </c>
      <c r="H47">
        <f t="shared" ca="1" si="2"/>
        <v>59</v>
      </c>
    </row>
    <row r="48" spans="1:8" x14ac:dyDescent="0.25">
      <c r="A48" s="1">
        <v>45937</v>
      </c>
      <c r="B48" s="1">
        <v>45940</v>
      </c>
      <c r="C48">
        <f t="shared" si="0"/>
        <v>3</v>
      </c>
      <c r="D48" t="inlineStr">
        <is>
          <t>Brian Cooper</t>
        </is>
      </c>
      <c r="E48" t="inlineStr">
        <is>
          <t>Summit Ridge Logistics</t>
        </is>
      </c>
      <c r="F48">
        <v>10</v>
      </c>
      <c r="G48">
        <v>20</v>
      </c>
      <c r="H48">
        <f t="shared" ca="1" si="2"/>
        <v>30</v>
      </c>
    </row>
    <row r="49" spans="1:8" x14ac:dyDescent="0.25">
      <c r="A49" s="1">
        <v>45888</v>
      </c>
      <c r="B49" s="1">
        <v>45891</v>
      </c>
      <c r="C49">
        <f t="shared" si="0"/>
        <v>3</v>
      </c>
      <c r="D49" t="inlineStr">
        <is>
          <t>Brian Cooper</t>
        </is>
      </c>
      <c r="E49" t="inlineStr">
        <is>
          <t>GoldenGate Equipment</t>
        </is>
      </c>
      <c r="F49">
        <v>30</v>
      </c>
      <c r="G49">
        <v>18</v>
      </c>
      <c r="H49">
        <f t="shared" ca="1" si="2"/>
        <v>48</v>
      </c>
    </row>
    <row r="50" spans="1:8" x14ac:dyDescent="0.25">
      <c r="A50" s="1">
        <v>45947</v>
      </c>
      <c r="B50" s="1">
        <v>45950</v>
      </c>
      <c r="C50">
        <f t="shared" si="0"/>
        <v>3</v>
      </c>
      <c r="D50" t="inlineStr">
        <is>
          <t>Ella Chen</t>
        </is>
      </c>
      <c r="E50" t="inlineStr">
        <is>
          <t>Arrowline Distribution</t>
        </is>
      </c>
      <c r="F50">
        <v>16</v>
      </c>
      <c r="G50">
        <v>18</v>
      </c>
      <c r="H50">
        <f t="shared" ca="1" si="2"/>
        <v>34</v>
      </c>
    </row>
    <row r="51" spans="1:8" x14ac:dyDescent="0.25">
      <c r="A51" s="1">
        <v>45919</v>
      </c>
      <c r="B51" s="1">
        <v>45922</v>
      </c>
      <c r="C51">
        <f t="shared" si="0"/>
        <v>3</v>
      </c>
      <c r="D51" t="inlineStr">
        <is>
          <t>Ella Chen</t>
        </is>
      </c>
      <c r="E51" t="inlineStr">
        <is>
          <t>Sagebrook Solutions</t>
        </is>
      </c>
      <c r="F51">
        <v>40</v>
      </c>
      <c r="G51">
        <v>0</v>
      </c>
      <c r="H51">
        <f t="shared" ca="1" si="2"/>
        <v>40</v>
      </c>
    </row>
    <row r="52" spans="1:8" x14ac:dyDescent="0.25">
      <c r="A52" s="1">
        <v>45957</v>
      </c>
      <c r="B52" s="1">
        <v>45961</v>
      </c>
      <c r="C52">
        <f t="shared" si="0"/>
        <v>4</v>
      </c>
      <c r="D52" t="inlineStr">
        <is>
          <t>Tyler Jennings</t>
        </is>
      </c>
      <c r="E52" t="inlineStr">
        <is>
          <t>Summit Ridge Logistics</t>
        </is>
      </c>
      <c r="F52">
        <v>4</v>
      </c>
      <c r="G52">
        <v>13</v>
      </c>
      <c r="H52">
        <f t="shared" ca="1" si="2"/>
        <v>17</v>
      </c>
    </row>
    <row r="53" spans="1:8" x14ac:dyDescent="0.25">
      <c r="A53" s="1">
        <v>45890</v>
      </c>
      <c r="B53" s="1">
        <v>45890</v>
      </c>
      <c r="C53">
        <f t="shared" si="0"/>
        <v>0</v>
      </c>
      <c r="D53" t="inlineStr">
        <is>
          <t>Tyler Jennings</t>
        </is>
      </c>
      <c r="E53" t="inlineStr">
        <is>
          <t>Arrowline Distribution</t>
        </is>
      </c>
      <c r="F53">
        <v>23</v>
      </c>
      <c r="G53">
        <v>28</v>
      </c>
      <c r="H53">
        <f t="shared" ca="1" si="2"/>
        <v>51</v>
      </c>
    </row>
    <row r="54" spans="1:8" x14ac:dyDescent="0.25">
      <c r="A54" s="1">
        <v>45947</v>
      </c>
      <c r="B54" s="1">
        <v>45952</v>
      </c>
      <c r="C54">
        <f t="shared" si="0"/>
        <v>5</v>
      </c>
      <c r="D54" t="inlineStr">
        <is>
          <t>Derrick Lawson</t>
        </is>
      </c>
      <c r="E54" t="inlineStr">
        <is>
          <t>GoldenGate Equipment</t>
        </is>
      </c>
      <c r="F54">
        <v>22</v>
      </c>
      <c r="G54">
        <v>28</v>
      </c>
      <c r="H54">
        <f t="shared" ca="1" si="2"/>
        <v>50</v>
      </c>
    </row>
    <row r="55" spans="1:8" x14ac:dyDescent="0.25">
      <c r="A55" s="1">
        <v>45847</v>
      </c>
      <c r="B55" s="1">
        <v>45848</v>
      </c>
      <c r="C55">
        <f t="shared" si="0"/>
        <v>1</v>
      </c>
      <c r="D55" t="inlineStr">
        <is>
          <t>Ella Chen</t>
        </is>
      </c>
      <c r="E55" t="inlineStr">
        <is>
          <t>Arrowline Distribution</t>
        </is>
      </c>
      <c r="F55">
        <v>50</v>
      </c>
      <c r="G55">
        <v>2</v>
      </c>
      <c r="H55">
        <f t="shared" ca="1" si="2"/>
        <v>52</v>
      </c>
    </row>
    <row r="56" spans="1:8" x14ac:dyDescent="0.25">
      <c r="A56" s="1">
        <v>45915</v>
      </c>
      <c r="B56" s="1">
        <v>45915</v>
      </c>
      <c r="C56">
        <f t="shared" si="0"/>
        <v>0</v>
      </c>
      <c r="D56" t="inlineStr">
        <is>
          <t>Ella Chen</t>
        </is>
      </c>
      <c r="E56" t="inlineStr">
        <is>
          <t>Riverbend Products</t>
        </is>
      </c>
      <c r="F56">
        <v>39</v>
      </c>
      <c r="G56">
        <v>45</v>
      </c>
      <c r="H56">
        <f t="shared" ca="1" si="2"/>
        <v>84</v>
      </c>
    </row>
    <row r="57" spans="1:8" x14ac:dyDescent="0.25">
      <c r="A57" s="1">
        <v>45846</v>
      </c>
      <c r="B57" s="1">
        <v>45849</v>
      </c>
      <c r="C57">
        <f t="shared" si="0"/>
        <v>3</v>
      </c>
      <c r="D57" t="inlineStr">
        <is>
          <t>Chloe Ramirez</t>
        </is>
      </c>
      <c r="E57" t="inlineStr">
        <is>
          <t>Crescent Valley Group</t>
        </is>
      </c>
      <c r="F57">
        <v>36</v>
      </c>
      <c r="G57">
        <v>4</v>
      </c>
      <c r="H57">
        <f t="shared" ca="1" si="2"/>
        <v>40</v>
      </c>
    </row>
    <row r="58" spans="1:8" x14ac:dyDescent="0.25">
      <c r="A58" s="1">
        <v>45881</v>
      </c>
      <c r="B58" s="1">
        <v>45882</v>
      </c>
      <c r="C58">
        <f t="shared" si="0"/>
        <v>1</v>
      </c>
      <c r="D58" t="inlineStr">
        <is>
          <t>Alicia Grant</t>
        </is>
      </c>
      <c r="E58" t="inlineStr">
        <is>
          <t>HarborPoint Industries</t>
        </is>
      </c>
      <c r="F58">
        <v>49</v>
      </c>
      <c r="G58">
        <v>21</v>
      </c>
      <c r="H58">
        <f t="shared" ca="1" si="2"/>
        <v>70</v>
      </c>
    </row>
    <row r="59" spans="1:8" x14ac:dyDescent="0.25">
      <c r="A59" s="1">
        <v>45841</v>
      </c>
      <c r="B59" s="1">
        <v>45847</v>
      </c>
      <c r="C59">
        <f t="shared" si="0"/>
        <v>6</v>
      </c>
      <c r="D59" t="inlineStr">
        <is>
          <t>Ella Chen</t>
        </is>
      </c>
      <c r="E59" t="inlineStr">
        <is>
          <t>Brightfield Manufacturing</t>
        </is>
      </c>
      <c r="F59">
        <v>39</v>
      </c>
      <c r="G59">
        <v>26</v>
      </c>
      <c r="H59">
        <f t="shared" ca="1" si="2"/>
        <v>65</v>
      </c>
    </row>
    <row r="60" spans="1:8" x14ac:dyDescent="0.25">
      <c r="A60" s="1">
        <v>45880</v>
      </c>
      <c r="B60" s="1">
        <v>45883</v>
      </c>
      <c r="C60">
        <f t="shared" si="0"/>
        <v>3</v>
      </c>
      <c r="D60" t="inlineStr">
        <is>
          <t>Ella Chen</t>
        </is>
      </c>
      <c r="E60" t="inlineStr">
        <is>
          <t>NovaCore Supply Co.</t>
        </is>
      </c>
      <c r="F60">
        <v>48</v>
      </c>
      <c r="G60">
        <v>24</v>
      </c>
      <c r="H60">
        <f t="shared" ca="1" si="2"/>
        <v>72</v>
      </c>
    </row>
    <row r="61" spans="1:8" x14ac:dyDescent="0.25">
      <c r="A61" s="1">
        <v>45882</v>
      </c>
      <c r="B61" s="1">
        <v>45883</v>
      </c>
      <c r="C61">
        <f t="shared" si="0"/>
        <v>1</v>
      </c>
      <c r="D61" t="inlineStr">
        <is>
          <t>Ella Chen</t>
        </is>
      </c>
      <c r="E61" t="inlineStr">
        <is>
          <t>Crescent Valley Group</t>
        </is>
      </c>
      <c r="F61">
        <v>18</v>
      </c>
      <c r="G61">
        <v>8</v>
      </c>
      <c r="H61">
        <f t="shared" ca="1" si="2"/>
        <v>26</v>
      </c>
    </row>
    <row r="62" spans="1:8" x14ac:dyDescent="0.25">
      <c r="A62" s="1">
        <v>45867</v>
      </c>
      <c r="B62" s="1">
        <v>45870</v>
      </c>
      <c r="C62">
        <f t="shared" si="0"/>
        <v>3</v>
      </c>
      <c r="D62" t="inlineStr">
        <is>
          <t>Derrick Lawson</t>
        </is>
      </c>
      <c r="E62" t="inlineStr">
        <is>
          <t>Summit Ridge Logistics</t>
        </is>
      </c>
      <c r="F62">
        <v>49</v>
      </c>
      <c r="G62">
        <v>18</v>
      </c>
      <c r="H62">
        <f t="shared" ca="1" si="2"/>
        <v>67</v>
      </c>
    </row>
    <row r="63" spans="1:8" x14ac:dyDescent="0.25">
      <c r="A63" s="1">
        <v>45938</v>
      </c>
      <c r="B63" s="1">
        <v>45940</v>
      </c>
      <c r="C63">
        <f t="shared" si="0"/>
        <v>2</v>
      </c>
      <c r="D63" t="inlineStr">
        <is>
          <t>Chloe Ramirez</t>
        </is>
      </c>
      <c r="E63" t="inlineStr">
        <is>
          <t>Sagebrook Solutions</t>
        </is>
      </c>
      <c r="F63">
        <v>21</v>
      </c>
      <c r="G63">
        <v>4</v>
      </c>
      <c r="H63">
        <f t="shared" ca="1" si="2"/>
        <v>25</v>
      </c>
    </row>
    <row r="64" spans="1:8" x14ac:dyDescent="0.25">
      <c r="A64" s="1">
        <v>45945</v>
      </c>
      <c r="B64" s="1">
        <v>45946</v>
      </c>
      <c r="C64">
        <f t="shared" si="0"/>
        <v>1</v>
      </c>
      <c r="D64" t="inlineStr">
        <is>
          <t>Tyler Jennings</t>
        </is>
      </c>
      <c r="E64" t="inlineStr">
        <is>
          <t>Everline Systems</t>
        </is>
      </c>
      <c r="F64">
        <v>8</v>
      </c>
      <c r="G64">
        <v>40</v>
      </c>
      <c r="H64">
        <f t="shared" ca="1" si="2"/>
        <v>48</v>
      </c>
    </row>
    <row r="65" spans="1:8" x14ac:dyDescent="0.25">
      <c r="A65" s="1">
        <v>45958</v>
      </c>
      <c r="B65" s="1">
        <v>45959</v>
      </c>
      <c r="C65">
        <f t="shared" si="0"/>
        <v>1</v>
      </c>
      <c r="D65" t="inlineStr">
        <is>
          <t>Ella Chen</t>
        </is>
      </c>
      <c r="E65" t="inlineStr">
        <is>
          <t>Sagebrook Solutions</t>
        </is>
      </c>
      <c r="F65">
        <v>39</v>
      </c>
      <c r="G65">
        <v>20</v>
      </c>
      <c r="H65">
        <f t="shared" ca="1" si="2"/>
        <v>59</v>
      </c>
    </row>
    <row r="66" spans="1:8" x14ac:dyDescent="0.25">
      <c r="A66" s="1">
        <v>45915</v>
      </c>
      <c r="B66" s="1">
        <v>45915</v>
      </c>
      <c r="C66">
        <f t="shared" si="0"/>
        <v>0</v>
      </c>
      <c r="D66" t="inlineStr">
        <is>
          <t>Brian Cooper</t>
        </is>
      </c>
      <c r="E66" t="inlineStr">
        <is>
          <t>Riverbend Products</t>
        </is>
      </c>
      <c r="F66">
        <v>13</v>
      </c>
      <c r="G66">
        <v>17</v>
      </c>
      <c r="H66">
        <f t="shared" ca="1" si="2"/>
        <v>30</v>
      </c>
    </row>
    <row r="67" spans="1:8" x14ac:dyDescent="0.25">
      <c r="A67" s="1">
        <v>45953</v>
      </c>
      <c r="B67" s="1">
        <v>45953</v>
      </c>
      <c r="C67">
        <f t="shared" ref="C67:C100" si="4">B67-A67</f>
        <v>0</v>
      </c>
      <c r="D67" t="inlineStr">
        <is>
          <t>Marcus Boyd</t>
        </is>
      </c>
      <c r="E67" t="inlineStr">
        <is>
          <t>Crescent Valley Group</t>
        </is>
      </c>
      <c r="F67">
        <v>27</v>
      </c>
      <c r="G67">
        <v>24</v>
      </c>
      <c r="H67">
        <f t="shared" ref="H67:H101" ca="1" si="6">SUM(F67:G67)</f>
        <v>51</v>
      </c>
    </row>
    <row r="68" spans="1:8" x14ac:dyDescent="0.25">
      <c r="A68" s="1">
        <v>45950</v>
      </c>
      <c r="B68" s="1">
        <v>45953</v>
      </c>
      <c r="C68">
        <f t="shared" si="4"/>
        <v>3</v>
      </c>
      <c r="D68" t="inlineStr">
        <is>
          <t>Ella Chen</t>
        </is>
      </c>
      <c r="E68" t="inlineStr">
        <is>
          <t>Ironwood Components</t>
        </is>
      </c>
      <c r="F68">
        <v>42</v>
      </c>
      <c r="G68">
        <v>16</v>
      </c>
      <c r="H68">
        <f t="shared" ca="1" si="6"/>
        <v>58</v>
      </c>
    </row>
    <row r="69" spans="1:8" x14ac:dyDescent="0.25">
      <c r="A69" s="1">
        <v>45904</v>
      </c>
      <c r="B69" s="1">
        <v>45905</v>
      </c>
      <c r="C69">
        <f t="shared" si="4"/>
        <v>1</v>
      </c>
      <c r="D69" t="inlineStr">
        <is>
          <t>Tyler Jennings</t>
        </is>
      </c>
      <c r="E69" t="inlineStr">
        <is>
          <t>Arrowline Distribution</t>
        </is>
      </c>
      <c r="F69">
        <v>0</v>
      </c>
      <c r="G69">
        <v>19</v>
      </c>
      <c r="H69">
        <f t="shared" ca="1" si="6"/>
        <v>19</v>
      </c>
    </row>
    <row r="70" spans="1:8" x14ac:dyDescent="0.25">
      <c r="A70" s="1">
        <v>45882</v>
      </c>
      <c r="B70" s="1">
        <v>45883</v>
      </c>
      <c r="C70">
        <f t="shared" si="4"/>
        <v>1</v>
      </c>
      <c r="D70" t="inlineStr">
        <is>
          <t>Tyler Jennings</t>
        </is>
      </c>
      <c r="E70" t="inlineStr">
        <is>
          <t>Summit Ridge Logistics</t>
        </is>
      </c>
      <c r="F70">
        <v>38</v>
      </c>
      <c r="G70">
        <v>15</v>
      </c>
      <c r="H70">
        <f t="shared" ca="1" si="6"/>
        <v>53</v>
      </c>
    </row>
    <row r="71" spans="1:8" x14ac:dyDescent="0.25">
      <c r="A71" s="1">
        <v>45919</v>
      </c>
      <c r="B71" s="1">
        <v>45919</v>
      </c>
      <c r="C71">
        <f t="shared" si="4"/>
        <v>0</v>
      </c>
      <c r="D71" t="inlineStr">
        <is>
          <t>Chloe Ramirez</t>
        </is>
      </c>
      <c r="E71" t="inlineStr">
        <is>
          <t>Riverbend Products</t>
        </is>
      </c>
      <c r="F71">
        <v>16</v>
      </c>
      <c r="G71">
        <v>5</v>
      </c>
      <c r="H71">
        <f t="shared" ca="1" si="6"/>
        <v>21</v>
      </c>
    </row>
    <row r="72" spans="1:8" x14ac:dyDescent="0.25">
      <c r="A72" s="1">
        <v>45855</v>
      </c>
      <c r="B72" s="1">
        <v>45855</v>
      </c>
      <c r="C72">
        <f t="shared" si="4"/>
        <v>0</v>
      </c>
      <c r="D72" t="inlineStr">
        <is>
          <t>Brian Cooper</t>
        </is>
      </c>
      <c r="E72" t="inlineStr">
        <is>
          <t>Ironwood Components</t>
        </is>
      </c>
      <c r="F72">
        <v>25</v>
      </c>
      <c r="G72">
        <v>9</v>
      </c>
      <c r="H72">
        <f t="shared" ca="1" si="6"/>
        <v>34</v>
      </c>
    </row>
    <row r="73" spans="1:8" x14ac:dyDescent="0.25">
      <c r="A73" s="1">
        <v>45905</v>
      </c>
      <c r="B73" s="1">
        <v>45908</v>
      </c>
      <c r="C73">
        <f t="shared" si="4"/>
        <v>3</v>
      </c>
      <c r="D73" t="inlineStr">
        <is>
          <t>Tyler Jennings</t>
        </is>
      </c>
      <c r="E73" t="inlineStr">
        <is>
          <t>BlueLeaf Packaging</t>
        </is>
      </c>
      <c r="F73">
        <v>6</v>
      </c>
      <c r="G73">
        <v>14</v>
      </c>
      <c r="H73">
        <f t="shared" ca="1" si="6"/>
        <v>20</v>
      </c>
    </row>
    <row r="74" spans="1:8" x14ac:dyDescent="0.25">
      <c r="A74" s="1">
        <v>45905</v>
      </c>
      <c r="B74" s="1">
        <v>45908</v>
      </c>
      <c r="C74">
        <f t="shared" si="4"/>
        <v>3</v>
      </c>
      <c r="D74" t="inlineStr">
        <is>
          <t>Derrick Lawson</t>
        </is>
      </c>
      <c r="E74" t="inlineStr">
        <is>
          <t>Ironwood Components</t>
        </is>
      </c>
      <c r="F74">
        <v>33</v>
      </c>
      <c r="G74">
        <v>31</v>
      </c>
      <c r="H74">
        <f t="shared" ca="1" si="6"/>
        <v>64</v>
      </c>
    </row>
    <row r="75" spans="1:8" x14ac:dyDescent="0.25">
      <c r="A75" s="1">
        <v>45846</v>
      </c>
      <c r="B75" s="1">
        <v>45847</v>
      </c>
      <c r="C75">
        <f t="shared" si="4"/>
        <v>1</v>
      </c>
      <c r="D75" t="inlineStr">
        <is>
          <t>Sophie Patel</t>
        </is>
      </c>
      <c r="E75" t="inlineStr">
        <is>
          <t>Sagebrook Solutions</t>
        </is>
      </c>
      <c r="F75">
        <v>13</v>
      </c>
      <c r="G75">
        <v>31</v>
      </c>
      <c r="H75">
        <f t="shared" ca="1" si="6"/>
        <v>44</v>
      </c>
    </row>
    <row r="76" spans="1:8" x14ac:dyDescent="0.25">
      <c r="A76" s="1">
        <v>45840</v>
      </c>
      <c r="B76" s="1">
        <v>45843</v>
      </c>
      <c r="C76">
        <f t="shared" si="4"/>
        <v>3</v>
      </c>
      <c r="D76" t="inlineStr">
        <is>
          <t>Ella Chen</t>
        </is>
      </c>
      <c r="E76" t="inlineStr">
        <is>
          <t>GoldenGate Equipment</t>
        </is>
      </c>
      <c r="F76">
        <v>8</v>
      </c>
      <c r="G76">
        <v>42</v>
      </c>
      <c r="H76">
        <f t="shared" ca="1" si="6"/>
        <v>50</v>
      </c>
    </row>
    <row r="77" spans="1:8" x14ac:dyDescent="0.25">
      <c r="A77" s="1">
        <v>45883</v>
      </c>
      <c r="B77" s="1">
        <v>45887</v>
      </c>
      <c r="C77">
        <f t="shared" si="4"/>
        <v>4</v>
      </c>
      <c r="D77" t="inlineStr">
        <is>
          <t>Marcus Boyd</t>
        </is>
      </c>
      <c r="E77" t="inlineStr">
        <is>
          <t>Ironwood Components</t>
        </is>
      </c>
      <c r="F77">
        <v>30</v>
      </c>
      <c r="G77">
        <v>9</v>
      </c>
      <c r="H77">
        <f t="shared" ca="1" si="6"/>
        <v>39</v>
      </c>
    </row>
    <row r="78" spans="1:8" x14ac:dyDescent="0.25">
      <c r="A78" s="1">
        <v>45866</v>
      </c>
      <c r="B78" s="1">
        <v>45869</v>
      </c>
      <c r="C78">
        <f t="shared" si="4"/>
        <v>3</v>
      </c>
      <c r="D78" t="inlineStr">
        <is>
          <t>Alicia Grant</t>
        </is>
      </c>
      <c r="E78" t="inlineStr">
        <is>
          <t>HarborPoint Industries</t>
        </is>
      </c>
      <c r="F78">
        <v>27</v>
      </c>
      <c r="G78">
        <v>1</v>
      </c>
      <c r="H78">
        <f t="shared" ca="1" si="6"/>
        <v>28</v>
      </c>
    </row>
    <row r="79" spans="1:8" x14ac:dyDescent="0.25">
      <c r="A79" s="1">
        <v>45937</v>
      </c>
      <c r="B79" s="1">
        <v>45940</v>
      </c>
      <c r="C79">
        <f t="shared" si="4"/>
        <v>3</v>
      </c>
      <c r="D79" t="inlineStr">
        <is>
          <t>Ella Chen</t>
        </is>
      </c>
      <c r="E79" t="inlineStr">
        <is>
          <t>Summit Ridge Logistics</t>
        </is>
      </c>
      <c r="F79">
        <v>5</v>
      </c>
      <c r="G79">
        <v>41</v>
      </c>
      <c r="H79">
        <f t="shared" ca="1" si="6"/>
        <v>46</v>
      </c>
    </row>
    <row r="80" spans="1:8" x14ac:dyDescent="0.25">
      <c r="A80" s="1">
        <v>45888</v>
      </c>
      <c r="B80" s="1">
        <v>45891</v>
      </c>
      <c r="C80">
        <f t="shared" si="4"/>
        <v>3</v>
      </c>
      <c r="D80" t="inlineStr">
        <is>
          <t>Alicia Grant</t>
        </is>
      </c>
      <c r="E80" t="inlineStr">
        <is>
          <t>Brightfield Manufacturing</t>
        </is>
      </c>
      <c r="F80">
        <v>34</v>
      </c>
      <c r="G80">
        <v>18</v>
      </c>
      <c r="H80">
        <f t="shared" ca="1" si="6"/>
        <v>52</v>
      </c>
    </row>
    <row r="81" spans="1:8" x14ac:dyDescent="0.25">
      <c r="A81" s="1">
        <v>45947</v>
      </c>
      <c r="B81" s="1">
        <v>45950</v>
      </c>
      <c r="C81">
        <f t="shared" si="4"/>
        <v>3</v>
      </c>
      <c r="D81" t="inlineStr">
        <is>
          <t>Brian Cooper</t>
        </is>
      </c>
      <c r="E81" t="inlineStr">
        <is>
          <t>Arrowline Distribution</t>
        </is>
      </c>
      <c r="F81">
        <v>34</v>
      </c>
      <c r="G81">
        <v>39</v>
      </c>
      <c r="H81">
        <f t="shared" ca="1" si="6"/>
        <v>73</v>
      </c>
    </row>
    <row r="82" spans="1:8" x14ac:dyDescent="0.25">
      <c r="A82" s="1">
        <v>45919</v>
      </c>
      <c r="B82" s="1">
        <v>45922</v>
      </c>
      <c r="C82">
        <f t="shared" si="4"/>
        <v>3</v>
      </c>
      <c r="D82" t="inlineStr">
        <is>
          <t>Chloe Ramirez</t>
        </is>
      </c>
      <c r="E82" t="inlineStr">
        <is>
          <t>Sagebrook Solutions</t>
        </is>
      </c>
      <c r="F82">
        <v>2</v>
      </c>
      <c r="G82">
        <v>35</v>
      </c>
      <c r="H82">
        <f t="shared" ca="1" si="6"/>
        <v>37</v>
      </c>
    </row>
    <row r="83" spans="1:8" x14ac:dyDescent="0.25">
      <c r="A83" s="1">
        <v>45957</v>
      </c>
      <c r="B83" s="1">
        <v>45961</v>
      </c>
      <c r="C83">
        <f t="shared" si="4"/>
        <v>4</v>
      </c>
      <c r="D83" t="inlineStr">
        <is>
          <t>Derrick Lawson</t>
        </is>
      </c>
      <c r="E83" t="inlineStr">
        <is>
          <t>BlueLeaf Packaging</t>
        </is>
      </c>
      <c r="F83">
        <v>39</v>
      </c>
      <c r="G83">
        <v>19</v>
      </c>
      <c r="H83">
        <f t="shared" ca="1" si="6"/>
        <v>58</v>
      </c>
    </row>
    <row r="84" spans="1:8" x14ac:dyDescent="0.25">
      <c r="A84" s="1">
        <v>45890</v>
      </c>
      <c r="B84" s="1">
        <v>45890</v>
      </c>
      <c r="C84">
        <f t="shared" si="4"/>
        <v>0</v>
      </c>
      <c r="D84" t="inlineStr">
        <is>
          <t>Sophie Patel</t>
        </is>
      </c>
      <c r="E84" t="inlineStr">
        <is>
          <t>GoldenGate Equipment</t>
        </is>
      </c>
      <c r="F84">
        <v>39</v>
      </c>
      <c r="G84">
        <v>12</v>
      </c>
      <c r="H84">
        <f t="shared" ca="1" si="6"/>
        <v>51</v>
      </c>
    </row>
    <row r="85" spans="1:8" x14ac:dyDescent="0.25">
      <c r="A85" s="1">
        <v>45947</v>
      </c>
      <c r="B85" s="1">
        <v>45952</v>
      </c>
      <c r="C85">
        <f t="shared" si="4"/>
        <v>5</v>
      </c>
      <c r="D85" t="inlineStr">
        <is>
          <t>Sophie Patel</t>
        </is>
      </c>
      <c r="E85" t="inlineStr">
        <is>
          <t>Arrowline Distribution</t>
        </is>
      </c>
      <c r="F85">
        <v>31</v>
      </c>
      <c r="G85">
        <v>30</v>
      </c>
      <c r="H85">
        <f t="shared" ca="1" si="6"/>
        <v>61</v>
      </c>
    </row>
    <row r="86" spans="1:8" x14ac:dyDescent="0.25">
      <c r="A86" s="1">
        <v>45847</v>
      </c>
      <c r="B86" s="1">
        <v>45848</v>
      </c>
      <c r="C86">
        <f t="shared" si="4"/>
        <v>1</v>
      </c>
      <c r="D86" t="inlineStr">
        <is>
          <t>Chloe Ramirez</t>
        </is>
      </c>
      <c r="E86" t="inlineStr">
        <is>
          <t>HarborPoint Industries</t>
        </is>
      </c>
      <c r="F86">
        <v>50</v>
      </c>
      <c r="G86">
        <v>23</v>
      </c>
      <c r="H86">
        <f t="shared" ca="1" si="6"/>
        <v>73</v>
      </c>
    </row>
    <row r="87" spans="1:8" x14ac:dyDescent="0.25">
      <c r="A87" s="1">
        <v>45915</v>
      </c>
      <c r="B87" s="1">
        <v>45915</v>
      </c>
      <c r="C87">
        <f t="shared" si="4"/>
        <v>0</v>
      </c>
      <c r="D87" t="inlineStr">
        <is>
          <t>Tyler Jennings</t>
        </is>
      </c>
      <c r="E87" t="inlineStr">
        <is>
          <t>Everline Systems</t>
        </is>
      </c>
      <c r="F87">
        <v>30</v>
      </c>
      <c r="G87">
        <v>18</v>
      </c>
      <c r="H87">
        <f t="shared" ca="1" si="6"/>
        <v>48</v>
      </c>
    </row>
    <row r="88" spans="1:8" x14ac:dyDescent="0.25">
      <c r="A88" s="1">
        <v>45846</v>
      </c>
      <c r="B88" s="1">
        <v>45849</v>
      </c>
      <c r="C88">
        <f t="shared" si="4"/>
        <v>3</v>
      </c>
      <c r="D88" t="inlineStr">
        <is>
          <t>Derrick Lawson</t>
        </is>
      </c>
      <c r="E88" t="inlineStr">
        <is>
          <t>Sagebrook Solutions</t>
        </is>
      </c>
      <c r="F88">
        <v>23</v>
      </c>
      <c r="G88">
        <v>21</v>
      </c>
      <c r="H88">
        <f t="shared" ca="1" si="6"/>
        <v>44</v>
      </c>
    </row>
    <row r="89" spans="1:8" x14ac:dyDescent="0.25">
      <c r="A89" s="1">
        <v>45881</v>
      </c>
      <c r="B89" s="1">
        <v>45882</v>
      </c>
      <c r="C89">
        <f t="shared" si="4"/>
        <v>1</v>
      </c>
      <c r="D89" t="inlineStr">
        <is>
          <t>Brian Cooper</t>
        </is>
      </c>
      <c r="E89" t="inlineStr">
        <is>
          <t>HarborPoint Industries</t>
        </is>
      </c>
      <c r="F89">
        <v>33</v>
      </c>
      <c r="G89">
        <v>1</v>
      </c>
      <c r="H89">
        <f t="shared" ca="1" si="6"/>
        <v>34</v>
      </c>
    </row>
    <row r="90" spans="1:8" x14ac:dyDescent="0.25">
      <c r="A90" s="1">
        <v>45841</v>
      </c>
      <c r="B90" s="1">
        <v>45847</v>
      </c>
      <c r="C90">
        <f t="shared" si="4"/>
        <v>6</v>
      </c>
      <c r="D90" t="inlineStr">
        <is>
          <t>Ella Chen</t>
        </is>
      </c>
      <c r="E90" t="inlineStr">
        <is>
          <t>NovaCore Supply Co.</t>
        </is>
      </c>
      <c r="F90">
        <v>50</v>
      </c>
      <c r="G90">
        <v>6</v>
      </c>
      <c r="H90">
        <f t="shared" ca="1" si="6"/>
        <v>56</v>
      </c>
    </row>
    <row r="91" spans="1:8" x14ac:dyDescent="0.25">
      <c r="A91" s="1">
        <v>45880</v>
      </c>
      <c r="B91" s="1">
        <v>45883</v>
      </c>
      <c r="C91">
        <f t="shared" si="4"/>
        <v>3</v>
      </c>
      <c r="D91" t="inlineStr">
        <is>
          <t>Tyler Jennings</t>
        </is>
      </c>
      <c r="E91" t="inlineStr">
        <is>
          <t>Summit Ridge Logistics</t>
        </is>
      </c>
      <c r="F91">
        <v>43</v>
      </c>
      <c r="G91">
        <v>49</v>
      </c>
      <c r="H91">
        <f t="shared" ca="1" si="6"/>
        <v>92</v>
      </c>
    </row>
    <row r="92" spans="1:8" x14ac:dyDescent="0.25">
      <c r="A92" s="1">
        <v>45882</v>
      </c>
      <c r="B92" s="1">
        <v>45883</v>
      </c>
      <c r="C92">
        <f t="shared" si="4"/>
        <v>1</v>
      </c>
      <c r="D92" t="inlineStr">
        <is>
          <t>Chloe Ramirez</t>
        </is>
      </c>
      <c r="E92" t="inlineStr">
        <is>
          <t>BlueLeaf Packaging</t>
        </is>
      </c>
      <c r="F92">
        <v>22</v>
      </c>
      <c r="G92">
        <v>28</v>
      </c>
      <c r="H92">
        <f t="shared" ca="1" si="6"/>
        <v>50</v>
      </c>
    </row>
    <row r="93" spans="1:8" x14ac:dyDescent="0.25">
      <c r="A93" s="1">
        <v>45867</v>
      </c>
      <c r="B93" s="1">
        <v>45870</v>
      </c>
      <c r="C93">
        <f t="shared" si="4"/>
        <v>3</v>
      </c>
      <c r="D93" t="inlineStr">
        <is>
          <t>Chloe Ramirez</t>
        </is>
      </c>
      <c r="E93" t="inlineStr">
        <is>
          <t>HarborPoint Industries</t>
        </is>
      </c>
      <c r="F93">
        <v>23</v>
      </c>
      <c r="G93">
        <v>19</v>
      </c>
      <c r="H93">
        <f t="shared" ca="1" si="6"/>
        <v>42</v>
      </c>
    </row>
    <row r="94" spans="1:8" x14ac:dyDescent="0.25">
      <c r="A94" s="1">
        <v>45938</v>
      </c>
      <c r="B94" s="1">
        <v>45940</v>
      </c>
      <c r="C94">
        <f t="shared" si="4"/>
        <v>2</v>
      </c>
      <c r="D94" t="inlineStr">
        <is>
          <t>Brian Cooper</t>
        </is>
      </c>
      <c r="E94" t="inlineStr">
        <is>
          <t>GoldenGate Equipment</t>
        </is>
      </c>
      <c r="F94">
        <v>43</v>
      </c>
      <c r="G94">
        <v>22</v>
      </c>
      <c r="H94">
        <f t="shared" ca="1" si="6"/>
        <v>65</v>
      </c>
    </row>
    <row r="95" spans="1:8" x14ac:dyDescent="0.25">
      <c r="A95" s="1">
        <v>45880</v>
      </c>
      <c r="B95" s="1">
        <v>45883</v>
      </c>
      <c r="C95">
        <f t="shared" si="4"/>
        <v>3</v>
      </c>
      <c r="D95" t="inlineStr">
        <is>
          <t>Ella Chen</t>
        </is>
      </c>
      <c r="E95" t="inlineStr">
        <is>
          <t>Brightfield Manufacturing</t>
        </is>
      </c>
      <c r="F95">
        <v>31</v>
      </c>
      <c r="G95">
        <v>42</v>
      </c>
      <c r="H95">
        <f t="shared" ca="1" si="6"/>
        <v>73</v>
      </c>
    </row>
    <row r="96" spans="1:8" x14ac:dyDescent="0.25">
      <c r="A96" s="1">
        <v>45880</v>
      </c>
      <c r="B96" s="1">
        <v>45883</v>
      </c>
      <c r="C96">
        <f t="shared" si="4"/>
        <v>3</v>
      </c>
      <c r="D96" t="inlineStr">
        <is>
          <t>Tyler Jennings</t>
        </is>
      </c>
      <c r="E96" t="inlineStr">
        <is>
          <t>Arrowline Distribution</t>
        </is>
      </c>
      <c r="F96">
        <v>50</v>
      </c>
      <c r="G96">
        <v>7</v>
      </c>
      <c r="H96">
        <f t="shared" ca="1" si="6"/>
        <v>57</v>
      </c>
    </row>
    <row r="97" spans="1:8" x14ac:dyDescent="0.25">
      <c r="A97" s="1">
        <v>45881</v>
      </c>
      <c r="B97" s="1">
        <v>45883</v>
      </c>
      <c r="C97">
        <f t="shared" si="4"/>
        <v>2</v>
      </c>
      <c r="D97" t="inlineStr">
        <is>
          <t>Tyler Jennings</t>
        </is>
      </c>
      <c r="E97" t="inlineStr">
        <is>
          <t>Summit Ridge Logistics</t>
        </is>
      </c>
      <c r="F97">
        <v>12</v>
      </c>
      <c r="G97">
        <v>48</v>
      </c>
      <c r="H97">
        <f t="shared" ca="1" si="6"/>
        <v>60</v>
      </c>
    </row>
    <row r="98" spans="1:8" x14ac:dyDescent="0.25">
      <c r="A98" s="1">
        <v>45882</v>
      </c>
      <c r="B98" s="1">
        <v>45883</v>
      </c>
      <c r="C98">
        <f t="shared" si="4"/>
        <v>1</v>
      </c>
      <c r="D98" t="inlineStr">
        <is>
          <t>Brian Cooper</t>
        </is>
      </c>
      <c r="E98" t="inlineStr">
        <is>
          <t>GoldenGate Equipment</t>
        </is>
      </c>
      <c r="F98">
        <v>21</v>
      </c>
      <c r="G98">
        <v>15</v>
      </c>
      <c r="H98">
        <f t="shared" ca="1" si="6"/>
        <v>36</v>
      </c>
    </row>
    <row r="99" spans="1:8" x14ac:dyDescent="0.25">
      <c r="A99" s="1">
        <v>45883</v>
      </c>
      <c r="B99" s="1">
        <v>45883</v>
      </c>
      <c r="C99">
        <f t="shared" si="4"/>
        <v>0</v>
      </c>
      <c r="D99" t="inlineStr">
        <is>
          <t>Ella Chen</t>
        </is>
      </c>
      <c r="E99" t="inlineStr">
        <is>
          <t>Sagebrook Solutions</t>
        </is>
      </c>
      <c r="F99">
        <v>34</v>
      </c>
      <c r="G99">
        <v>11</v>
      </c>
      <c r="H99">
        <f t="shared" ca="1" si="6"/>
        <v>45</v>
      </c>
    </row>
    <row r="100" spans="1:8" x14ac:dyDescent="0.25">
      <c r="A100" s="1">
        <v>45884</v>
      </c>
      <c r="B100" s="1">
        <v>45884</v>
      </c>
      <c r="C100">
        <f t="shared" si="4"/>
        <v>0</v>
      </c>
      <c r="D100" t="inlineStr">
        <is>
          <t>Brian Cooper</t>
        </is>
      </c>
      <c r="E100" t="inlineStr">
        <is>
          <t>BlueLeaf Packaging</t>
        </is>
      </c>
      <c r="F100">
        <v>7</v>
      </c>
      <c r="G100">
        <v>47</v>
      </c>
      <c r="H100">
        <f t="shared" ca="1" si="6"/>
        <v>54</v>
      </c>
    </row>
    <row r="101" spans="1:8" x14ac:dyDescent="0.25">
      <c r="A101" s="1">
        <v>45884</v>
      </c>
      <c r="B101" s="1">
        <v>45884</v>
      </c>
      <c r="C101">
        <f t="shared" ref="C101" si="7">B101-A101</f>
        <v>0</v>
      </c>
      <c r="D101" t="inlineStr">
        <is>
          <t>Chloe Ramirez</t>
        </is>
      </c>
      <c r="E101" t="inlineStr">
        <is>
          <t>GoldenGate Equipment</t>
        </is>
      </c>
      <c r="F101">
        <v>27</v>
      </c>
      <c r="G101">
        <v>46</v>
      </c>
      <c r="H101">
        <f t="shared" ca="1" si="6"/>
        <v>73</v>
      </c>
    </row>
    <row r="102" spans="1:8" x14ac:dyDescent="0.25">
      <c r="B102" s="1"/>
    </row>
    <row r="103" spans="1:8" x14ac:dyDescent="0.25">
      <c r="B103" s="1"/>
    </row>
    <row r="104" spans="1:8" x14ac:dyDescent="0.25">
      <c r="B104" s="1"/>
    </row>
    <row r="105" spans="1:8" x14ac:dyDescent="0.25">
      <c r="B105" s="1"/>
    </row>
    <row r="106" spans="1:8" x14ac:dyDescent="0.25">
      <c r="B106"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DB415-E47B-4995-9BFB-D22055D382E3}">
  <sheetPr>
    <pageSetUpPr fitToPage="1"/>
  </sheetPr>
  <dimension ref="A1:T9"/>
  <sheetViews>
    <sheetView showGridLines="0" tabSelected="1" workbookViewId="0">
      <selection sqref="A1:T1"/>
    </sheetView>
  </sheetViews>
  <sheetFormatPr defaultRowHeight="15" x14ac:dyDescent="0.25"/>
  <cols>
    <col min="1" max="1" width="13.140625" bestFit="1" customWidth="1"/>
    <col min="2" max="2" width="10.7109375" bestFit="1" customWidth="1"/>
    <col min="3" max="3" width="9.7109375" bestFit="1" customWidth="1"/>
    <col min="4" max="4" width="12" bestFit="1" customWidth="1"/>
    <col min="5" max="5" width="1.85546875" customWidth="1"/>
    <col min="9" max="9" width="2.140625" customWidth="1"/>
    <col min="13" max="13" width="3.140625" customWidth="1"/>
    <col min="14" max="14" width="14" customWidth="1"/>
    <col min="16" max="16" width="13.28515625" customWidth="1"/>
  </cols>
  <sheetData>
    <row r="1" spans="1:20" ht="30" x14ac:dyDescent="0.4">
      <c r="A1" s="17" t="s">
        <v>18</v>
      </c>
      <c r="B1" s="17"/>
      <c r="C1" s="17"/>
      <c r="D1" s="17"/>
      <c r="E1" s="17"/>
      <c r="F1" s="17"/>
      <c r="G1" s="17"/>
      <c r="H1" s="17"/>
      <c r="I1" s="17"/>
      <c r="J1" s="17"/>
      <c r="K1" s="17"/>
      <c r="L1" s="17"/>
      <c r="M1" s="17"/>
      <c r="N1" s="17"/>
      <c r="O1" s="17"/>
      <c r="P1" s="17"/>
      <c r="Q1" s="17"/>
      <c r="R1" s="17"/>
      <c r="S1" s="17"/>
      <c r="T1" s="17"/>
    </row>
    <row r="3" spans="1:20" x14ac:dyDescent="0.25">
      <c r="A3" s="2" t="s">
        <v>10</v>
      </c>
      <c r="B3" t="s">
        <v>8</v>
      </c>
      <c r="C3" t="s">
        <v>9</v>
      </c>
      <c r="N3" s="4" t="s">
        <v>16</v>
      </c>
      <c r="O3" s="4"/>
      <c r="P3" s="4"/>
    </row>
    <row r="4" spans="1:20" ht="15.75" thickBot="1" x14ac:dyDescent="0.3">
      <c r="A4" s="3" t="s">
        <v>12</v>
      </c>
      <c r="B4">
        <v>576</v>
      </c>
      <c r="C4">
        <v>492</v>
      </c>
    </row>
    <row r="5" spans="1:20" x14ac:dyDescent="0.25">
      <c r="A5" s="3" t="s">
        <v>13</v>
      </c>
      <c r="B5">
        <v>945</v>
      </c>
      <c r="C5">
        <v>738</v>
      </c>
      <c r="N5" s="5" t="s">
        <v>17</v>
      </c>
      <c r="O5" s="6"/>
      <c r="P5" s="7"/>
    </row>
    <row r="6" spans="1:20" ht="15.75" thickBot="1" x14ac:dyDescent="0.3">
      <c r="A6" s="3" t="s">
        <v>14</v>
      </c>
      <c r="B6">
        <v>496</v>
      </c>
      <c r="C6">
        <v>494</v>
      </c>
      <c r="N6" s="8"/>
      <c r="O6" s="9"/>
      <c r="P6" s="10"/>
    </row>
    <row r="7" spans="1:20" x14ac:dyDescent="0.25">
      <c r="A7" s="3" t="s">
        <v>15</v>
      </c>
      <c r="B7">
        <v>711</v>
      </c>
      <c r="C7">
        <v>663</v>
      </c>
      <c r="N7" s="11">
        <f>AVERAGE(SampleData[Days to Ship])</f>
        <v>2.51</v>
      </c>
      <c r="O7" s="12"/>
      <c r="P7" s="13"/>
    </row>
    <row r="8" spans="1:20" x14ac:dyDescent="0.25">
      <c r="A8" s="3" t="s">
        <v>11</v>
      </c>
      <c r="B8">
        <v>2728</v>
      </c>
      <c r="C8">
        <v>2387</v>
      </c>
      <c r="N8" s="11"/>
      <c r="O8" s="12"/>
      <c r="P8" s="13"/>
    </row>
    <row r="9" spans="1:20" ht="15.75" thickBot="1" x14ac:dyDescent="0.3">
      <c r="N9" s="14"/>
      <c r="O9" s="15"/>
      <c r="P9" s="16"/>
    </row>
  </sheetData>
  <mergeCells count="4">
    <mergeCell ref="N3:P3"/>
    <mergeCell ref="N5:P6"/>
    <mergeCell ref="N7:P9"/>
    <mergeCell ref="A1:T1"/>
  </mergeCells>
  <pageMargins left="0.7" right="0.7" top="0.75" bottom="0.75" header="0.3" footer="0.3"/>
  <pageSetup scale="67" orientation="landscape" horizontalDpi="4294967293"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 LeClercq</dc:creator>
  <cp:lastModifiedBy>Ann LeClercq</cp:lastModifiedBy>
  <cp:lastPrinted>2025-11-05T11:34:43Z</cp:lastPrinted>
  <dcterms:created xsi:type="dcterms:W3CDTF">2025-11-05T10:27:21Z</dcterms:created>
  <dcterms:modified xsi:type="dcterms:W3CDTF">2025-11-13T02:40:59Z</dcterms:modified>
</cp:coreProperties>
</file>